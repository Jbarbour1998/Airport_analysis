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qubstudentcloud-my.sharepoint.com/personal/40303629_ads_qub_ac_uk/Documents/JORDAN_BARBOUR_COMMERCIALANALYST/"/>
    </mc:Choice>
  </mc:AlternateContent>
  <xr:revisionPtr revIDLastSave="11" documentId="13_ncr:1_{8F89434C-D651-4E19-AFE6-6219129183A7}" xr6:coauthVersionLast="47" xr6:coauthVersionMax="47" xr10:uidLastSave="{B8AEAFA3-3FAA-47B4-B7E5-71E99758B365}"/>
  <bookViews>
    <workbookView xWindow="-120" yWindow="-120" windowWidth="29040" windowHeight="15720" activeTab="5" xr2:uid="{00000000-000D-0000-FFFF-FFFF00000000}"/>
  </bookViews>
  <sheets>
    <sheet name="Task Description" sheetId="5" r:id="rId1"/>
    <sheet name="Retail_Data_Original" sheetId="6" r:id="rId2"/>
    <sheet name="Passenger_Data_Original" sheetId="7" r:id="rId3"/>
    <sheet name="Retail_Data" sheetId="1" r:id="rId4"/>
    <sheet name="Passenger_Data" sheetId="2" r:id="rId5"/>
    <sheet name="Output" sheetId="3" r:id="rId6"/>
    <sheet name="Data_Notes"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3" l="1"/>
  <c r="C11" i="3"/>
  <c r="N49" i="3"/>
  <c r="O49" i="3" s="1"/>
  <c r="L49" i="3"/>
  <c r="H49" i="3"/>
  <c r="G49" i="3"/>
  <c r="K49" i="3" s="1"/>
  <c r="F49" i="3"/>
  <c r="M49" i="3" s="1"/>
  <c r="E49" i="3"/>
  <c r="O48" i="3"/>
  <c r="N48" i="3"/>
  <c r="L48" i="3"/>
  <c r="H48" i="3"/>
  <c r="G48" i="3"/>
  <c r="K48" i="3" s="1"/>
  <c r="F48" i="3"/>
  <c r="J48" i="3" s="1"/>
  <c r="E48" i="3"/>
  <c r="N47" i="3"/>
  <c r="O47" i="3" s="1"/>
  <c r="L47" i="3"/>
  <c r="J47" i="3"/>
  <c r="H47" i="3"/>
  <c r="G47" i="3"/>
  <c r="K47" i="3" s="1"/>
  <c r="F47" i="3"/>
  <c r="M47" i="3" s="1"/>
  <c r="E47" i="3"/>
  <c r="N46" i="3"/>
  <c r="O46" i="3" s="1"/>
  <c r="M46" i="3"/>
  <c r="L46" i="3"/>
  <c r="H46" i="3"/>
  <c r="G46" i="3"/>
  <c r="K46" i="3" s="1"/>
  <c r="F46" i="3"/>
  <c r="J46" i="3" s="1"/>
  <c r="E46" i="3"/>
  <c r="N45" i="3"/>
  <c r="O45" i="3" s="1"/>
  <c r="L45" i="3"/>
  <c r="I45" i="3"/>
  <c r="H45" i="3"/>
  <c r="G45" i="3"/>
  <c r="K45" i="3" s="1"/>
  <c r="F45" i="3"/>
  <c r="J45" i="3" s="1"/>
  <c r="E45" i="3"/>
  <c r="O44" i="3"/>
  <c r="N44" i="3"/>
  <c r="L44" i="3"/>
  <c r="K44" i="3"/>
  <c r="H44" i="3"/>
  <c r="G44" i="3"/>
  <c r="F44" i="3"/>
  <c r="M44" i="3" s="1"/>
  <c r="E44" i="3"/>
  <c r="N43" i="3"/>
  <c r="O43" i="3" s="1"/>
  <c r="L43" i="3"/>
  <c r="H43" i="3"/>
  <c r="G43" i="3"/>
  <c r="K43" i="3" s="1"/>
  <c r="F43" i="3"/>
  <c r="I43" i="3" s="1"/>
  <c r="E43" i="3"/>
  <c r="N42" i="3"/>
  <c r="O42" i="3" s="1"/>
  <c r="L42" i="3"/>
  <c r="J42" i="3"/>
  <c r="I42" i="3"/>
  <c r="H42" i="3"/>
  <c r="G42" i="3"/>
  <c r="K42" i="3" s="1"/>
  <c r="F42" i="3"/>
  <c r="M42" i="3" s="1"/>
  <c r="E42" i="3"/>
  <c r="N41" i="3"/>
  <c r="O41" i="3" s="1"/>
  <c r="L41" i="3"/>
  <c r="M41" i="3" s="1"/>
  <c r="I41" i="3"/>
  <c r="H41" i="3"/>
  <c r="G41" i="3"/>
  <c r="K41" i="3" s="1"/>
  <c r="F41" i="3"/>
  <c r="J41" i="3" s="1"/>
  <c r="E41" i="3"/>
  <c r="O40" i="3"/>
  <c r="N40" i="3"/>
  <c r="L40" i="3"/>
  <c r="H40" i="3"/>
  <c r="G40" i="3"/>
  <c r="K40" i="3" s="1"/>
  <c r="F40" i="3"/>
  <c r="J40" i="3" s="1"/>
  <c r="E40" i="3"/>
  <c r="N39" i="3"/>
  <c r="O39" i="3" s="1"/>
  <c r="L39" i="3"/>
  <c r="K39" i="3"/>
  <c r="J39" i="3"/>
  <c r="H39" i="3"/>
  <c r="G39" i="3"/>
  <c r="F39" i="3"/>
  <c r="M39" i="3" s="1"/>
  <c r="E39" i="3"/>
  <c r="N38" i="3"/>
  <c r="O38" i="3" s="1"/>
  <c r="M38" i="3"/>
  <c r="L38" i="3"/>
  <c r="H38" i="3"/>
  <c r="G38" i="3"/>
  <c r="K38" i="3" s="1"/>
  <c r="F38" i="3"/>
  <c r="J38" i="3" s="1"/>
  <c r="E38" i="3"/>
  <c r="N37" i="3"/>
  <c r="O37" i="3" s="1"/>
  <c r="L37" i="3"/>
  <c r="M37" i="3" s="1"/>
  <c r="I37" i="3"/>
  <c r="H37" i="3"/>
  <c r="G37" i="3"/>
  <c r="K37" i="3" s="1"/>
  <c r="F37" i="3"/>
  <c r="J37" i="3" s="1"/>
  <c r="E37" i="3"/>
  <c r="O36" i="3"/>
  <c r="N36" i="3"/>
  <c r="L36" i="3"/>
  <c r="K36" i="3"/>
  <c r="H36" i="3"/>
  <c r="G36" i="3"/>
  <c r="F36" i="3"/>
  <c r="M36" i="3" s="1"/>
  <c r="E36" i="3"/>
  <c r="N35" i="3"/>
  <c r="O35" i="3" s="1"/>
  <c r="L35" i="3"/>
  <c r="H35" i="3"/>
  <c r="G35" i="3"/>
  <c r="K35" i="3" s="1"/>
  <c r="F35" i="3"/>
  <c r="I35" i="3" s="1"/>
  <c r="E35" i="3"/>
  <c r="N34" i="3"/>
  <c r="O34" i="3" s="1"/>
  <c r="M34" i="3"/>
  <c r="L34" i="3"/>
  <c r="J34" i="3"/>
  <c r="I34" i="3"/>
  <c r="H34" i="3"/>
  <c r="G34" i="3"/>
  <c r="K34" i="3" s="1"/>
  <c r="F34" i="3"/>
  <c r="E34" i="3"/>
  <c r="N33" i="3"/>
  <c r="O33" i="3" s="1"/>
  <c r="L33" i="3"/>
  <c r="M33" i="3" s="1"/>
  <c r="I33" i="3"/>
  <c r="H33" i="3"/>
  <c r="G33" i="3"/>
  <c r="K33" i="3" s="1"/>
  <c r="F33" i="3"/>
  <c r="J33" i="3" s="1"/>
  <c r="E33" i="3"/>
  <c r="O32" i="3"/>
  <c r="N32" i="3"/>
  <c r="L32" i="3"/>
  <c r="H32" i="3"/>
  <c r="G32" i="3"/>
  <c r="K32" i="3" s="1"/>
  <c r="F32" i="3"/>
  <c r="J32" i="3" s="1"/>
  <c r="E32" i="3"/>
  <c r="N31" i="3"/>
  <c r="O31" i="3" s="1"/>
  <c r="L31" i="3"/>
  <c r="K31" i="3"/>
  <c r="J31" i="3"/>
  <c r="H31" i="3"/>
  <c r="G31" i="3"/>
  <c r="F31" i="3"/>
  <c r="M31" i="3" s="1"/>
  <c r="E31" i="3"/>
  <c r="N30" i="3"/>
  <c r="O30" i="3" s="1"/>
  <c r="M30" i="3"/>
  <c r="L30" i="3"/>
  <c r="H30" i="3"/>
  <c r="G30" i="3"/>
  <c r="K30" i="3" s="1"/>
  <c r="F30" i="3"/>
  <c r="J30" i="3" s="1"/>
  <c r="E30" i="3"/>
  <c r="N29" i="3"/>
  <c r="O29" i="3" s="1"/>
  <c r="L29" i="3"/>
  <c r="M29" i="3" s="1"/>
  <c r="I29" i="3"/>
  <c r="H29" i="3"/>
  <c r="G29" i="3"/>
  <c r="K29" i="3" s="1"/>
  <c r="F29" i="3"/>
  <c r="J29" i="3" s="1"/>
  <c r="E29" i="3"/>
  <c r="O28" i="3"/>
  <c r="N28" i="3"/>
  <c r="L28" i="3"/>
  <c r="K28" i="3"/>
  <c r="H28" i="3"/>
  <c r="G28" i="3"/>
  <c r="F28" i="3"/>
  <c r="M28" i="3" s="1"/>
  <c r="E28" i="3"/>
  <c r="N27" i="3"/>
  <c r="O27" i="3" s="1"/>
  <c r="L27" i="3"/>
  <c r="H27" i="3"/>
  <c r="G27" i="3"/>
  <c r="K27" i="3" s="1"/>
  <c r="F27" i="3"/>
  <c r="I27" i="3" s="1"/>
  <c r="E27" i="3"/>
  <c r="N26" i="3"/>
  <c r="O26" i="3" s="1"/>
  <c r="M26" i="3"/>
  <c r="L26" i="3"/>
  <c r="J26" i="3"/>
  <c r="I26" i="3"/>
  <c r="H26" i="3"/>
  <c r="G26" i="3"/>
  <c r="K26" i="3" s="1"/>
  <c r="F26" i="3"/>
  <c r="E26" i="3"/>
  <c r="N25" i="3"/>
  <c r="O25" i="3" s="1"/>
  <c r="L25" i="3"/>
  <c r="M25" i="3" s="1"/>
  <c r="I25" i="3"/>
  <c r="H25" i="3"/>
  <c r="G25" i="3"/>
  <c r="K25" i="3" s="1"/>
  <c r="F25" i="3"/>
  <c r="J25" i="3" s="1"/>
  <c r="E25" i="3"/>
  <c r="O24" i="3"/>
  <c r="N24" i="3"/>
  <c r="L24" i="3"/>
  <c r="H24" i="3"/>
  <c r="G24" i="3"/>
  <c r="K24" i="3" s="1"/>
  <c r="F24" i="3"/>
  <c r="J24" i="3" s="1"/>
  <c r="E24" i="3"/>
  <c r="N23" i="3"/>
  <c r="O23" i="3" s="1"/>
  <c r="L23" i="3"/>
  <c r="K23" i="3"/>
  <c r="J23" i="3"/>
  <c r="H23" i="3"/>
  <c r="G23" i="3"/>
  <c r="F23" i="3"/>
  <c r="M23" i="3" s="1"/>
  <c r="E23" i="3"/>
  <c r="N22" i="3"/>
  <c r="O22" i="3" s="1"/>
  <c r="M22" i="3"/>
  <c r="L22" i="3"/>
  <c r="H22" i="3"/>
  <c r="G22" i="3"/>
  <c r="K22" i="3" s="1"/>
  <c r="F22" i="3"/>
  <c r="J22" i="3" s="1"/>
  <c r="E22" i="3"/>
  <c r="N21" i="3"/>
  <c r="O21" i="3" s="1"/>
  <c r="L21" i="3"/>
  <c r="M21" i="3" s="1"/>
  <c r="I21" i="3"/>
  <c r="H21" i="3"/>
  <c r="G21" i="3"/>
  <c r="K21" i="3" s="1"/>
  <c r="F21" i="3"/>
  <c r="J21" i="3" s="1"/>
  <c r="E21" i="3"/>
  <c r="O20" i="3"/>
  <c r="N20" i="3"/>
  <c r="L20" i="3"/>
  <c r="K20" i="3"/>
  <c r="H20" i="3"/>
  <c r="G20" i="3"/>
  <c r="F20" i="3"/>
  <c r="M20" i="3" s="1"/>
  <c r="E20" i="3"/>
  <c r="C13" i="3"/>
  <c r="B13" i="3"/>
  <c r="H12" i="3"/>
  <c r="G12" i="3"/>
  <c r="C12" i="3"/>
  <c r="B12" i="3"/>
  <c r="H11" i="3"/>
  <c r="H14" i="3" s="1"/>
  <c r="G11" i="3"/>
  <c r="O10" i="3"/>
  <c r="M10" i="3"/>
  <c r="L10" i="3"/>
  <c r="O9" i="3"/>
  <c r="M9" i="3"/>
  <c r="L9" i="3"/>
  <c r="Q9" i="3" s="1"/>
  <c r="O8" i="3"/>
  <c r="M8" i="3"/>
  <c r="L8" i="3"/>
  <c r="Q8" i="3" s="1"/>
  <c r="O7" i="3"/>
  <c r="M7" i="3"/>
  <c r="L7" i="3"/>
  <c r="O6" i="3"/>
  <c r="M6" i="3"/>
  <c r="L6" i="3"/>
  <c r="N6" i="3" s="1"/>
  <c r="O125" i="1"/>
  <c r="N125" i="1"/>
  <c r="M125" i="1"/>
  <c r="L125" i="1"/>
  <c r="N124" i="1"/>
  <c r="M124" i="1"/>
  <c r="L124" i="1"/>
  <c r="O124" i="1" s="1"/>
  <c r="O123" i="1"/>
  <c r="N123" i="1"/>
  <c r="M123" i="1"/>
  <c r="L123" i="1"/>
  <c r="N122" i="1"/>
  <c r="M122" i="1"/>
  <c r="L122" i="1"/>
  <c r="O122" i="1" s="1"/>
  <c r="O121" i="1"/>
  <c r="N121" i="1"/>
  <c r="M121" i="1"/>
  <c r="L121" i="1"/>
  <c r="N120" i="1"/>
  <c r="M120" i="1"/>
  <c r="L120" i="1"/>
  <c r="O120" i="1" s="1"/>
  <c r="O119" i="1"/>
  <c r="N119" i="1"/>
  <c r="M119" i="1"/>
  <c r="L119" i="1"/>
  <c r="N118" i="1"/>
  <c r="M118" i="1"/>
  <c r="L118" i="1"/>
  <c r="O118" i="1" s="1"/>
  <c r="O117" i="1"/>
  <c r="N117" i="1"/>
  <c r="M117" i="1"/>
  <c r="L117" i="1"/>
  <c r="N116" i="1"/>
  <c r="M116" i="1"/>
  <c r="L116" i="1"/>
  <c r="O116" i="1" s="1"/>
  <c r="O115" i="1"/>
  <c r="N115" i="1"/>
  <c r="M115" i="1"/>
  <c r="L115" i="1"/>
  <c r="N114" i="1"/>
  <c r="M114" i="1"/>
  <c r="L114" i="1"/>
  <c r="O114" i="1" s="1"/>
  <c r="O113" i="1"/>
  <c r="N113" i="1"/>
  <c r="M113" i="1"/>
  <c r="L113" i="1"/>
  <c r="N112" i="1"/>
  <c r="M112" i="1"/>
  <c r="L112" i="1"/>
  <c r="O112" i="1" s="1"/>
  <c r="O111" i="1"/>
  <c r="N111" i="1"/>
  <c r="M111" i="1"/>
  <c r="L111" i="1"/>
  <c r="N110" i="1"/>
  <c r="M110" i="1"/>
  <c r="L110" i="1"/>
  <c r="O110" i="1" s="1"/>
  <c r="O109" i="1"/>
  <c r="N109" i="1"/>
  <c r="M109" i="1"/>
  <c r="L109" i="1"/>
  <c r="N108" i="1"/>
  <c r="M108" i="1"/>
  <c r="L108" i="1"/>
  <c r="O108" i="1" s="1"/>
  <c r="O107" i="1"/>
  <c r="N107" i="1"/>
  <c r="M107" i="1"/>
  <c r="L107" i="1"/>
  <c r="N106" i="1"/>
  <c r="M106" i="1"/>
  <c r="L106" i="1"/>
  <c r="O106" i="1" s="1"/>
  <c r="O105" i="1"/>
  <c r="N105" i="1"/>
  <c r="M105" i="1"/>
  <c r="L105" i="1"/>
  <c r="N104" i="1"/>
  <c r="M104" i="1"/>
  <c r="L104" i="1"/>
  <c r="O104" i="1" s="1"/>
  <c r="O103" i="1"/>
  <c r="N103" i="1"/>
  <c r="M103" i="1"/>
  <c r="L103" i="1"/>
  <c r="N102" i="1"/>
  <c r="M102" i="1"/>
  <c r="L102" i="1"/>
  <c r="O102" i="1" s="1"/>
  <c r="O101" i="1"/>
  <c r="N101" i="1"/>
  <c r="M101" i="1"/>
  <c r="L101" i="1"/>
  <c r="N100" i="1"/>
  <c r="M100" i="1"/>
  <c r="L100" i="1"/>
  <c r="O100" i="1" s="1"/>
  <c r="O99" i="1"/>
  <c r="N99" i="1"/>
  <c r="M99" i="1"/>
  <c r="L99" i="1"/>
  <c r="N98" i="1"/>
  <c r="M98" i="1"/>
  <c r="L98" i="1"/>
  <c r="O98" i="1" s="1"/>
  <c r="O97" i="1"/>
  <c r="N97" i="1"/>
  <c r="M97" i="1"/>
  <c r="L97" i="1"/>
  <c r="N96" i="1"/>
  <c r="M96" i="1"/>
  <c r="L96" i="1"/>
  <c r="O96" i="1" s="1"/>
  <c r="O95" i="1"/>
  <c r="N95" i="1"/>
  <c r="M95" i="1"/>
  <c r="L95" i="1"/>
  <c r="N94" i="1"/>
  <c r="M94" i="1"/>
  <c r="L94" i="1"/>
  <c r="O94" i="1" s="1"/>
  <c r="O93" i="1"/>
  <c r="N93" i="1"/>
  <c r="M93" i="1"/>
  <c r="L93" i="1"/>
  <c r="N92" i="1"/>
  <c r="M92" i="1"/>
  <c r="L92" i="1"/>
  <c r="O92" i="1" s="1"/>
  <c r="O91" i="1"/>
  <c r="N91" i="1"/>
  <c r="M91" i="1"/>
  <c r="L91" i="1"/>
  <c r="N90" i="1"/>
  <c r="M90" i="1"/>
  <c r="L90" i="1"/>
  <c r="O90" i="1" s="1"/>
  <c r="O89" i="1"/>
  <c r="N89" i="1"/>
  <c r="M89" i="1"/>
  <c r="L89" i="1"/>
  <c r="N88" i="1"/>
  <c r="M88" i="1"/>
  <c r="L88" i="1"/>
  <c r="O88" i="1" s="1"/>
  <c r="O87" i="1"/>
  <c r="N87" i="1"/>
  <c r="M87" i="1"/>
  <c r="L87" i="1"/>
  <c r="N86" i="1"/>
  <c r="M86" i="1"/>
  <c r="L86" i="1"/>
  <c r="O86" i="1" s="1"/>
  <c r="O85" i="1"/>
  <c r="N85" i="1"/>
  <c r="M85" i="1"/>
  <c r="L85" i="1"/>
  <c r="N84" i="1"/>
  <c r="M84" i="1"/>
  <c r="L84" i="1"/>
  <c r="O84" i="1" s="1"/>
  <c r="O83" i="1"/>
  <c r="N83" i="1"/>
  <c r="M83" i="1"/>
  <c r="L83" i="1"/>
  <c r="N82" i="1"/>
  <c r="M82" i="1"/>
  <c r="L82" i="1"/>
  <c r="O82" i="1" s="1"/>
  <c r="O81" i="1"/>
  <c r="N81" i="1"/>
  <c r="M81" i="1"/>
  <c r="L81" i="1"/>
  <c r="N80" i="1"/>
  <c r="M80" i="1"/>
  <c r="L80" i="1"/>
  <c r="O80" i="1" s="1"/>
  <c r="O79" i="1"/>
  <c r="N79" i="1"/>
  <c r="M79" i="1"/>
  <c r="L79" i="1"/>
  <c r="N78" i="1"/>
  <c r="M78" i="1"/>
  <c r="L78" i="1"/>
  <c r="O78" i="1" s="1"/>
  <c r="O77" i="1"/>
  <c r="N77" i="1"/>
  <c r="M77" i="1"/>
  <c r="L77" i="1"/>
  <c r="N76" i="1"/>
  <c r="M76" i="1"/>
  <c r="L76" i="1"/>
  <c r="O76" i="1" s="1"/>
  <c r="O75" i="1"/>
  <c r="N75" i="1"/>
  <c r="M75" i="1"/>
  <c r="L75" i="1"/>
  <c r="N74" i="1"/>
  <c r="M74" i="1"/>
  <c r="L74" i="1"/>
  <c r="O74" i="1" s="1"/>
  <c r="O73" i="1"/>
  <c r="N73" i="1"/>
  <c r="M73" i="1"/>
  <c r="L73" i="1"/>
  <c r="N72" i="1"/>
  <c r="M72" i="1"/>
  <c r="L72" i="1"/>
  <c r="O72" i="1" s="1"/>
  <c r="O71" i="1"/>
  <c r="N71" i="1"/>
  <c r="M71" i="1"/>
  <c r="L71" i="1"/>
  <c r="N70" i="1"/>
  <c r="M70" i="1"/>
  <c r="L70" i="1"/>
  <c r="O70" i="1" s="1"/>
  <c r="O69" i="1"/>
  <c r="N69" i="1"/>
  <c r="M69" i="1"/>
  <c r="L69" i="1"/>
  <c r="N68" i="1"/>
  <c r="M68" i="1"/>
  <c r="L68" i="1"/>
  <c r="O68" i="1" s="1"/>
  <c r="O67" i="1"/>
  <c r="N67" i="1"/>
  <c r="M67" i="1"/>
  <c r="L67" i="1"/>
  <c r="N66" i="1"/>
  <c r="M66" i="1"/>
  <c r="L66" i="1"/>
  <c r="O66" i="1" s="1"/>
  <c r="O65" i="1"/>
  <c r="N65" i="1"/>
  <c r="M65" i="1"/>
  <c r="L65" i="1"/>
  <c r="N64" i="1"/>
  <c r="M64" i="1"/>
  <c r="L64" i="1"/>
  <c r="O64" i="1" s="1"/>
  <c r="O63" i="1"/>
  <c r="N63" i="1"/>
  <c r="M63" i="1"/>
  <c r="L63" i="1"/>
  <c r="N62" i="1"/>
  <c r="M62" i="1"/>
  <c r="L62" i="1"/>
  <c r="O62" i="1" s="1"/>
  <c r="O61" i="1"/>
  <c r="N61" i="1"/>
  <c r="M61" i="1"/>
  <c r="L61" i="1"/>
  <c r="N60" i="1"/>
  <c r="M60" i="1"/>
  <c r="L60" i="1"/>
  <c r="O60" i="1" s="1"/>
  <c r="O59" i="1"/>
  <c r="N59" i="1"/>
  <c r="M59" i="1"/>
  <c r="L59" i="1"/>
  <c r="N58" i="1"/>
  <c r="M58" i="1"/>
  <c r="L58" i="1"/>
  <c r="O58" i="1" s="1"/>
  <c r="O57" i="1"/>
  <c r="N57" i="1"/>
  <c r="M57" i="1"/>
  <c r="L57" i="1"/>
  <c r="N56" i="1"/>
  <c r="M56" i="1"/>
  <c r="L56" i="1"/>
  <c r="O56" i="1" s="1"/>
  <c r="O55" i="1"/>
  <c r="N55" i="1"/>
  <c r="M55" i="1"/>
  <c r="L55" i="1"/>
  <c r="N54" i="1"/>
  <c r="M54" i="1"/>
  <c r="L54" i="1"/>
  <c r="O54" i="1" s="1"/>
  <c r="O53" i="1"/>
  <c r="N53" i="1"/>
  <c r="M53" i="1"/>
  <c r="L53" i="1"/>
  <c r="N52" i="1"/>
  <c r="M52" i="1"/>
  <c r="L52" i="1"/>
  <c r="O52" i="1" s="1"/>
  <c r="O51" i="1"/>
  <c r="N51" i="1"/>
  <c r="M51" i="1"/>
  <c r="L51" i="1"/>
  <c r="N50" i="1"/>
  <c r="M50" i="1"/>
  <c r="L50" i="1"/>
  <c r="O50" i="1" s="1"/>
  <c r="O49" i="1"/>
  <c r="N49" i="1"/>
  <c r="M49" i="1"/>
  <c r="L49" i="1"/>
  <c r="N48" i="1"/>
  <c r="M48" i="1"/>
  <c r="L48" i="1"/>
  <c r="O48" i="1" s="1"/>
  <c r="O47" i="1"/>
  <c r="N47" i="1"/>
  <c r="M47" i="1"/>
  <c r="L47" i="1"/>
  <c r="N46" i="1"/>
  <c r="M46" i="1"/>
  <c r="L46" i="1"/>
  <c r="O46" i="1" s="1"/>
  <c r="O45" i="1"/>
  <c r="N45" i="1"/>
  <c r="M45" i="1"/>
  <c r="L45" i="1"/>
  <c r="N44" i="1"/>
  <c r="M44" i="1"/>
  <c r="L44" i="1"/>
  <c r="O44" i="1" s="1"/>
  <c r="O43" i="1"/>
  <c r="N43" i="1"/>
  <c r="M43" i="1"/>
  <c r="L43" i="1"/>
  <c r="N42" i="1"/>
  <c r="M42" i="1"/>
  <c r="L42" i="1"/>
  <c r="O42" i="1" s="1"/>
  <c r="O41" i="1"/>
  <c r="N41" i="1"/>
  <c r="M41" i="1"/>
  <c r="L41" i="1"/>
  <c r="N40" i="1"/>
  <c r="M40" i="1"/>
  <c r="L40" i="1"/>
  <c r="O40" i="1" s="1"/>
  <c r="O39" i="1"/>
  <c r="N39" i="1"/>
  <c r="M39" i="1"/>
  <c r="L39" i="1"/>
  <c r="N38" i="1"/>
  <c r="M38" i="1"/>
  <c r="L38" i="1"/>
  <c r="O38" i="1" s="1"/>
  <c r="O37" i="1"/>
  <c r="N37" i="1"/>
  <c r="M37" i="1"/>
  <c r="L37" i="1"/>
  <c r="N36" i="1"/>
  <c r="M36" i="1"/>
  <c r="L36" i="1"/>
  <c r="O36" i="1" s="1"/>
  <c r="O35" i="1"/>
  <c r="N35" i="1"/>
  <c r="M35" i="1"/>
  <c r="L35" i="1"/>
  <c r="N34" i="1"/>
  <c r="M34" i="1"/>
  <c r="L34" i="1"/>
  <c r="O34" i="1" s="1"/>
  <c r="O33" i="1"/>
  <c r="N33" i="1"/>
  <c r="M33" i="1"/>
  <c r="L33" i="1"/>
  <c r="N32" i="1"/>
  <c r="M32" i="1"/>
  <c r="L32" i="1"/>
  <c r="O32" i="1" s="1"/>
  <c r="O31" i="1"/>
  <c r="N31" i="1"/>
  <c r="M31" i="1"/>
  <c r="L31" i="1"/>
  <c r="N30" i="1"/>
  <c r="M30" i="1"/>
  <c r="L30" i="1"/>
  <c r="O30" i="1" s="1"/>
  <c r="O29" i="1"/>
  <c r="N29" i="1"/>
  <c r="M29" i="1"/>
  <c r="L29" i="1"/>
  <c r="N28" i="1"/>
  <c r="M28" i="1"/>
  <c r="L28" i="1"/>
  <c r="O28" i="1" s="1"/>
  <c r="O27" i="1"/>
  <c r="N27" i="1"/>
  <c r="M27" i="1"/>
  <c r="L27" i="1"/>
  <c r="N26" i="1"/>
  <c r="M26" i="1"/>
  <c r="L26" i="1"/>
  <c r="O26" i="1" s="1"/>
  <c r="O25" i="1"/>
  <c r="N25" i="1"/>
  <c r="M25" i="1"/>
  <c r="L25" i="1"/>
  <c r="N24" i="1"/>
  <c r="M24" i="1"/>
  <c r="L24" i="1"/>
  <c r="O24" i="1" s="1"/>
  <c r="O23" i="1"/>
  <c r="N23" i="1"/>
  <c r="M23" i="1"/>
  <c r="L23" i="1"/>
  <c r="N22" i="1"/>
  <c r="M22" i="1"/>
  <c r="L22" i="1"/>
  <c r="O22" i="1" s="1"/>
  <c r="O21" i="1"/>
  <c r="N21" i="1"/>
  <c r="M21" i="1"/>
  <c r="L21" i="1"/>
  <c r="N20" i="1"/>
  <c r="M20" i="1"/>
  <c r="L20" i="1"/>
  <c r="O20" i="1" s="1"/>
  <c r="O19" i="1"/>
  <c r="N19" i="1"/>
  <c r="M19" i="1"/>
  <c r="L19" i="1"/>
  <c r="N18" i="1"/>
  <c r="M18" i="1"/>
  <c r="L18" i="1"/>
  <c r="O18" i="1" s="1"/>
  <c r="O17" i="1"/>
  <c r="N17" i="1"/>
  <c r="M17" i="1"/>
  <c r="L17" i="1"/>
  <c r="N16" i="1"/>
  <c r="M16" i="1"/>
  <c r="L16" i="1"/>
  <c r="O16" i="1" s="1"/>
  <c r="O15" i="1"/>
  <c r="N15" i="1"/>
  <c r="M15" i="1"/>
  <c r="L15" i="1"/>
  <c r="N14" i="1"/>
  <c r="M14" i="1"/>
  <c r="L14" i="1"/>
  <c r="O14" i="1" s="1"/>
  <c r="O13" i="1"/>
  <c r="N13" i="1"/>
  <c r="M13" i="1"/>
  <c r="L13" i="1"/>
  <c r="N12" i="1"/>
  <c r="M12" i="1"/>
  <c r="L12" i="1"/>
  <c r="O12" i="1" s="1"/>
  <c r="O11" i="1"/>
  <c r="N11" i="1"/>
  <c r="M11" i="1"/>
  <c r="L11" i="1"/>
  <c r="N10" i="1"/>
  <c r="M10" i="1"/>
  <c r="L10" i="1"/>
  <c r="O10" i="1" s="1"/>
  <c r="O9" i="1"/>
  <c r="N9" i="1"/>
  <c r="M9" i="1"/>
  <c r="L9" i="1"/>
  <c r="N8" i="1"/>
  <c r="M8" i="1"/>
  <c r="L8" i="1"/>
  <c r="O8" i="1" s="1"/>
  <c r="O7" i="1"/>
  <c r="N7" i="1"/>
  <c r="M7" i="1"/>
  <c r="L7" i="1"/>
  <c r="N6" i="1"/>
  <c r="M6" i="1"/>
  <c r="L6" i="1"/>
  <c r="O6" i="1" s="1"/>
  <c r="O5" i="1"/>
  <c r="N5" i="1"/>
  <c r="M5" i="1"/>
  <c r="L5" i="1"/>
  <c r="N4" i="1"/>
  <c r="M4" i="1"/>
  <c r="L4" i="1"/>
  <c r="O4" i="1" s="1"/>
  <c r="I12" i="3" l="1"/>
  <c r="D12" i="3"/>
  <c r="B14" i="3"/>
  <c r="N8" i="3"/>
  <c r="P10" i="3"/>
  <c r="C14" i="3"/>
  <c r="N7" i="3"/>
  <c r="D13" i="3"/>
  <c r="G13" i="3"/>
  <c r="C15" i="3"/>
  <c r="N9" i="3"/>
  <c r="G14" i="3"/>
  <c r="I14" i="3" s="1"/>
  <c r="P8" i="3"/>
  <c r="R10" i="3"/>
  <c r="R9" i="3"/>
  <c r="I22" i="3"/>
  <c r="J27" i="3"/>
  <c r="I30" i="3"/>
  <c r="J35" i="3"/>
  <c r="I38" i="3"/>
  <c r="J43" i="3"/>
  <c r="I46" i="3"/>
  <c r="H13" i="3"/>
  <c r="B15" i="3"/>
  <c r="Q7" i="3"/>
  <c r="R8" i="3"/>
  <c r="M45" i="3"/>
  <c r="I49" i="3"/>
  <c r="P7" i="3"/>
  <c r="P6" i="3"/>
  <c r="Q6" i="3"/>
  <c r="R7" i="3"/>
  <c r="D11" i="3"/>
  <c r="I20" i="3"/>
  <c r="M24" i="3"/>
  <c r="I28" i="3"/>
  <c r="M32" i="3"/>
  <c r="I36" i="3"/>
  <c r="M40" i="3"/>
  <c r="I44" i="3"/>
  <c r="M48" i="3"/>
  <c r="J49" i="3"/>
  <c r="R6" i="3"/>
  <c r="N10" i="3"/>
  <c r="G15" i="3"/>
  <c r="J20" i="3"/>
  <c r="I23" i="3"/>
  <c r="M27" i="3"/>
  <c r="J28" i="3"/>
  <c r="I31" i="3"/>
  <c r="M35" i="3"/>
  <c r="J36" i="3"/>
  <c r="I39" i="3"/>
  <c r="M43" i="3"/>
  <c r="J44" i="3"/>
  <c r="I47" i="3"/>
  <c r="H15" i="3"/>
  <c r="I11" i="3"/>
  <c r="P9" i="3"/>
  <c r="Q10" i="3"/>
  <c r="I24" i="3"/>
  <c r="I32" i="3"/>
  <c r="I40" i="3"/>
  <c r="I48" i="3"/>
  <c r="D14" i="3" l="1"/>
  <c r="I13" i="3"/>
  <c r="D15" i="3"/>
  <c r="I15" i="3"/>
</calcChain>
</file>

<file path=xl/sharedStrings.xml><?xml version="1.0" encoding="utf-8"?>
<sst xmlns="http://schemas.openxmlformats.org/spreadsheetml/2006/main" count="1203" uniqueCount="143">
  <si>
    <t>Retail Data — One Row per Outlet per Month</t>
  </si>
  <si>
    <t>date</t>
  </si>
  <si>
    <t>year</t>
  </si>
  <si>
    <t>month_number</t>
  </si>
  <si>
    <t>month</t>
  </si>
  <si>
    <t>category_group</t>
  </si>
  <si>
    <t>outlet_name</t>
  </si>
  <si>
    <t>outlet_type</t>
  </si>
  <si>
    <t>unit_location</t>
  </si>
  <si>
    <t>unit_size_sqm</t>
  </si>
  <si>
    <t>transactions</t>
  </si>
  <si>
    <t>total_sales</t>
  </si>
  <si>
    <t>sales_per_transaction</t>
  </si>
  <si>
    <t>sales_per_sqm</t>
  </si>
  <si>
    <t>common_12_month_period</t>
  </si>
  <si>
    <t>data_quality_flag</t>
  </si>
  <si>
    <t>Dec</t>
  </si>
  <si>
    <t>Catering</t>
  </si>
  <si>
    <t>Gate Bistro</t>
  </si>
  <si>
    <t>Coffee</t>
  </si>
  <si>
    <t>Central</t>
  </si>
  <si>
    <t>Jan</t>
  </si>
  <si>
    <t>Feb</t>
  </si>
  <si>
    <t>Mar</t>
  </si>
  <si>
    <t>Apr</t>
  </si>
  <si>
    <t>May</t>
  </si>
  <si>
    <t>Jun</t>
  </si>
  <si>
    <t>Jul</t>
  </si>
  <si>
    <t>Aug</t>
  </si>
  <si>
    <t>Sep</t>
  </si>
  <si>
    <t>Oct</t>
  </si>
  <si>
    <t>Nov</t>
  </si>
  <si>
    <t>North Kitchen</t>
  </si>
  <si>
    <t>Restaurants</t>
  </si>
  <si>
    <t>East</t>
  </si>
  <si>
    <t>Oak Coffee Bar</t>
  </si>
  <si>
    <t>West</t>
  </si>
  <si>
    <t>Sky Deli</t>
  </si>
  <si>
    <t>Terminal Kitchen</t>
  </si>
  <si>
    <t>Passenger Data — One Row per Month</t>
  </si>
  <si>
    <t>passenger_amount</t>
  </si>
  <si>
    <t>Catering Commercial Performance — Formula Output</t>
  </si>
  <si>
    <t>Change the year, as-of date and outlet below. The KPI blocks, outlet table and monthly trends update from formulas.</t>
  </si>
  <si>
    <t>Controls</t>
  </si>
  <si>
    <t>Outlet YTD Comparison</t>
  </si>
  <si>
    <t>Selected Year</t>
  </si>
  <si>
    <t>Outlet</t>
  </si>
  <si>
    <t>YTD Sales</t>
  </si>
  <si>
    <t>Prior YTD Sales</t>
  </si>
  <si>
    <t>Sales YoY</t>
  </si>
  <si>
    <t>YTD Transactions</t>
  </si>
  <si>
    <t>Avg Transaction Value</t>
  </si>
  <si>
    <t>Sales per Sqm</t>
  </si>
  <si>
    <t>Estate Sales Share</t>
  </si>
  <si>
    <t>As-of Date</t>
  </si>
  <si>
    <t>Selected Outlet</t>
  </si>
  <si>
    <t>Overall Catering YTD Performance</t>
  </si>
  <si>
    <t>Selected Outlet YTD Performance</t>
  </si>
  <si>
    <t>Metric</t>
  </si>
  <si>
    <t>Current YTD</t>
  </si>
  <si>
    <t>Prior YTD</t>
  </si>
  <si>
    <t>YoY Change</t>
  </si>
  <si>
    <t>Total Sales</t>
  </si>
  <si>
    <t>Transactions</t>
  </si>
  <si>
    <t>Passengers</t>
  </si>
  <si>
    <t>Average Transaction Value</t>
  </si>
  <si>
    <t>Sales per Square Metre</t>
  </si>
  <si>
    <t>Transactions per 1,000 Passengers</t>
  </si>
  <si>
    <t>Share of Estate Sales</t>
  </si>
  <si>
    <t>Monthly Performance, YoY and YTD Trend</t>
  </si>
  <si>
    <t>active_outlets</t>
  </si>
  <si>
    <t>total_transactions</t>
  </si>
  <si>
    <t>sales_per_1000_passengers</t>
  </si>
  <si>
    <t>transactions_per_1000_passengers</t>
  </si>
  <si>
    <t>prior_year_sales</t>
  </si>
  <si>
    <t>sales_yoy_pct</t>
  </si>
  <si>
    <t>ytd_sales</t>
  </si>
  <si>
    <t>ytd_sales_yoy_pct</t>
  </si>
  <si>
    <t>Edinburgh Airport Catering Challenge — Data Notes</t>
  </si>
  <si>
    <t>Years</t>
  </si>
  <si>
    <t>Outlets</t>
  </si>
  <si>
    <t>Item</t>
  </si>
  <si>
    <t>Explanation</t>
  </si>
  <si>
    <t>Value / Setting</t>
  </si>
  <si>
    <t>Why it matters</t>
  </si>
  <si>
    <t>Retail table grain</t>
  </si>
  <si>
    <t>One row per outlet per month.</t>
  </si>
  <si>
    <t>Supports overall and individual outlet analysis.</t>
  </si>
  <si>
    <t>Passenger table grain</t>
  </si>
  <si>
    <t>One row per month.</t>
  </si>
  <si>
    <t>Avoids duplicating passenger totals across outlet rows.</t>
  </si>
  <si>
    <t>Output tab</t>
  </si>
  <si>
    <t>Formula-driven analysis showing overall performance, outlet performance, YoY and YTD outcomes.</t>
  </si>
  <si>
    <t>Meets the brief's requirement to show thought process.</t>
  </si>
  <si>
    <t>As-of date</t>
  </si>
  <si>
    <t>The YTD calculations use the date selected on the Output tab.</t>
  </si>
  <si>
    <t>Allows a fair current-year versus prior-year comparison.</t>
  </si>
  <si>
    <t>High-sales observation</t>
  </si>
  <si>
    <t>Terminal Kitchen, August 2024 sales of £5,161,021.20 were retained and flagged for review.</t>
  </si>
  <si>
    <t>The original source value creates an unusually high sales-per-transaction result.</t>
  </si>
  <si>
    <t>Passenger field warning</t>
  </si>
  <si>
    <t>Do not sum passenger figures from the original combined table.</t>
  </si>
  <si>
    <t>The same passenger figure was repeated for every outlet in a month.</t>
  </si>
  <si>
    <t>Recommended Power BI model</t>
  </si>
  <si>
    <t>Relate Retail_Data and Passenger_Data to a separate Date table.</t>
  </si>
  <si>
    <t>Prevents double counting and supports YoY/YTD measures.</t>
  </si>
  <si>
    <t>Task Description</t>
  </si>
  <si>
    <t>Background:</t>
  </si>
  <si>
    <t>Catering is one of Edinburgh Airport's largest commercial revenue streams and plays a key role in the airport's overall financial performance.
The Commercial team regularly reviews the performance of the catering estate to understand how outlets are trading, identify trends over time, and highlight opportunities to improve performance. The team uses dashboards to monitor key performance indicators and support commercial decision making.
You have been provided with a dataset containing monthly sales and transaction data for a number of catering outlets across the airport (tab, RetailerData). You have also been provided with the total passenger numbers (tab, PassengerData)</t>
  </si>
  <si>
    <t>Your Task:</t>
  </si>
  <si>
    <t xml:space="preserve">Create an Output tab to produce any outcomes. Use formulas (e.g. do not copy paste as values from pviots) so we can see your thought process.
Create an interactive dashboard in Excel, PowerBI (or both) that enables the Commercial team to monitor the performance of the catering estate. Your dashboard should allow users to quickly understand:
- Overall catering performance
- Individual outlet performance
- Year on Year trends
- YTD performance
- Any other analysis you believe to be useful
Alongside your dashboard, provide a short summary (max. 5 bullet points) outlining your key findings
</t>
  </si>
  <si>
    <t>Category1</t>
  </si>
  <si>
    <t>Outlet Name</t>
  </si>
  <si>
    <t>Category4</t>
  </si>
  <si>
    <t>Year of Month Start Date</t>
  </si>
  <si>
    <t>Month of Month Start Date</t>
  </si>
  <si>
    <t>Unit Location</t>
  </si>
  <si>
    <t>Monthly Unit Size Meter Sq</t>
  </si>
  <si>
    <t>2024</t>
  </si>
  <si>
    <t>December</t>
  </si>
  <si>
    <t>398</t>
  </si>
  <si>
    <t>2025</t>
  </si>
  <si>
    <t>January</t>
  </si>
  <si>
    <t>February</t>
  </si>
  <si>
    <t>March</t>
  </si>
  <si>
    <t>April</t>
  </si>
  <si>
    <t>June</t>
  </si>
  <si>
    <t>July</t>
  </si>
  <si>
    <t>August</t>
  </si>
  <si>
    <t>September</t>
  </si>
  <si>
    <t>October</t>
  </si>
  <si>
    <t>November</t>
  </si>
  <si>
    <t>2026</t>
  </si>
  <si>
    <t>300</t>
  </si>
  <si>
    <t>190</t>
  </si>
  <si>
    <t>269</t>
  </si>
  <si>
    <t>343</t>
  </si>
  <si>
    <t>685</t>
  </si>
  <si>
    <t>817</t>
  </si>
  <si>
    <t>Month</t>
  </si>
  <si>
    <t>2024Actual</t>
  </si>
  <si>
    <t>2025Actual</t>
  </si>
  <si>
    <t>2026Actual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</si>
</sst>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7">
    <font>
      <sz val="11"/>
      <name val="Carlito"/>
    </font>
    <font>
      <b/>
      <sz val="16"/>
      <color rgb="FFFFFFFF"/>
      <name val="Carlito"/>
    </font>
    <font>
      <b/>
      <sz val="11"/>
      <color rgb="FFFFFFFF"/>
      <name val="Carlito"/>
    </font>
    <font>
      <i/>
      <sz val="11"/>
      <color rgb="FF595959"/>
      <name val="Carlito"/>
    </font>
    <font>
      <b/>
      <sz val="12"/>
      <color rgb="FF17365D"/>
      <name val="Carlito"/>
    </font>
    <font>
      <b/>
      <u/>
      <sz val="11"/>
      <color theme="1"/>
      <name val="Calibri"/>
      <family val="2"/>
      <scheme val="minor"/>
    </font>
    <font>
      <sz val="9"/>
      <color rgb="FF000000"/>
      <name val="Arial"/>
      <family val="2"/>
    </font>
  </fonts>
  <fills count="8">
    <fill>
      <patternFill patternType="none"/>
    </fill>
    <fill>
      <patternFill patternType="gray125"/>
    </fill>
    <fill>
      <patternFill patternType="solid">
        <fgColor rgb="FF17365D"/>
      </patternFill>
    </fill>
    <fill>
      <patternFill patternType="solid">
        <fgColor rgb="FF1F4E78"/>
      </patternFill>
    </fill>
    <fill>
      <patternFill patternType="solid">
        <fgColor rgb="FFEAF2F8"/>
      </patternFill>
    </fill>
    <fill>
      <patternFill patternType="solid">
        <fgColor rgb="FFD9EAF7"/>
      </patternFill>
    </fill>
    <fill>
      <patternFill patternType="solid">
        <fgColor rgb="FFFFF2CC"/>
      </patternFill>
    </fill>
    <fill>
      <patternFill patternType="solid">
        <fgColor rgb="FFE9F2FB"/>
        <bgColor indexed="64"/>
      </patternFill>
    </fill>
  </fills>
  <borders count="12">
    <border>
      <left/>
      <right/>
      <top/>
      <bottom/>
      <diagonal/>
    </border>
    <border>
      <left/>
      <right/>
      <top/>
      <bottom/>
      <diagonal/>
    </border>
    <border>
      <left/>
      <right/>
      <top/>
      <bottom/>
      <diagonal/>
    </border>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57">
    <xf numFmtId="0" fontId="0" fillId="0" borderId="0" xfId="0"/>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0" xfId="0" applyAlignment="1">
      <alignment wrapText="1"/>
    </xf>
    <xf numFmtId="14" fontId="0" fillId="0" borderId="0" xfId="0" applyNumberFormat="1"/>
    <xf numFmtId="1" fontId="0" fillId="0" borderId="0" xfId="0" applyNumberFormat="1"/>
    <xf numFmtId="164" fontId="0" fillId="4" borderId="0" xfId="0" applyNumberFormat="1" applyFill="1"/>
    <xf numFmtId="165" fontId="0" fillId="4" borderId="0" xfId="0" applyNumberFormat="1" applyFill="1"/>
    <xf numFmtId="4" fontId="0" fillId="4" borderId="0" xfId="0" applyNumberFormat="1" applyFill="1"/>
    <xf numFmtId="1" fontId="0" fillId="4" borderId="0" xfId="0" applyNumberFormat="1" applyFill="1"/>
    <xf numFmtId="0" fontId="2" fillId="3"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0" fillId="0" borderId="0" xfId="0" applyAlignment="1">
      <alignment horizontal="left"/>
    </xf>
    <xf numFmtId="164" fontId="0" fillId="4" borderId="0" xfId="0" applyNumberFormat="1" applyFill="1" applyAlignment="1">
      <alignment horizontal="left"/>
    </xf>
    <xf numFmtId="164" fontId="0" fillId="0" borderId="0" xfId="0" applyNumberFormat="1" applyAlignment="1">
      <alignment horizontal="left"/>
    </xf>
    <xf numFmtId="4" fontId="0" fillId="0" borderId="0" xfId="0" applyNumberFormat="1" applyAlignment="1">
      <alignment horizontal="left"/>
    </xf>
    <xf numFmtId="1" fontId="0" fillId="0" borderId="0" xfId="0" applyNumberFormat="1" applyAlignment="1">
      <alignment horizontal="left"/>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0" fillId="0" borderId="0" xfId="0" applyAlignment="1">
      <alignment horizontal="left" vertical="center"/>
    </xf>
    <xf numFmtId="14" fontId="0" fillId="0" borderId="0" xfId="0" applyNumberFormat="1" applyAlignment="1">
      <alignment horizontal="left"/>
    </xf>
    <xf numFmtId="0" fontId="0" fillId="4" borderId="0" xfId="0" applyFill="1" applyAlignment="1">
      <alignment horizontal="left"/>
    </xf>
    <xf numFmtId="3" fontId="0" fillId="0" borderId="0" xfId="0" applyNumberFormat="1" applyAlignment="1">
      <alignment horizontal="left"/>
    </xf>
    <xf numFmtId="0" fontId="0" fillId="6" borderId="0" xfId="0" applyFill="1" applyAlignment="1">
      <alignment horizontal="left"/>
    </xf>
    <xf numFmtId="14" fontId="0" fillId="6" borderId="0" xfId="0" applyNumberFormat="1" applyFill="1" applyAlignment="1">
      <alignment horizontal="left"/>
    </xf>
    <xf numFmtId="0" fontId="5" fillId="0" borderId="0" xfId="0" applyFont="1"/>
    <xf numFmtId="0" fontId="0" fillId="0" borderId="0" xfId="0" applyAlignment="1">
      <alignment vertical="top" wrapText="1"/>
    </xf>
    <xf numFmtId="0" fontId="6" fillId="0" borderId="0" xfId="0" quotePrefix="1" applyFont="1" applyAlignment="1">
      <alignment horizontal="left"/>
    </xf>
    <xf numFmtId="0" fontId="6" fillId="0" borderId="0" xfId="0" quotePrefix="1" applyFont="1" applyAlignment="1">
      <alignment horizontal="left" vertical="top"/>
    </xf>
    <xf numFmtId="3" fontId="6" fillId="0" borderId="0" xfId="0" quotePrefix="1" applyNumberFormat="1" applyFont="1" applyAlignment="1">
      <alignment horizontal="left" vertical="top"/>
    </xf>
    <xf numFmtId="0" fontId="4" fillId="5" borderId="0" xfId="0" applyFont="1" applyFill="1" applyAlignment="1">
      <alignment horizontal="left" vertical="center"/>
    </xf>
    <xf numFmtId="0" fontId="1" fillId="2" borderId="0" xfId="0" applyFont="1" applyFill="1" applyAlignment="1">
      <alignment horizontal="left" vertical="center"/>
    </xf>
    <xf numFmtId="0" fontId="3" fillId="0" borderId="0" xfId="0" applyFont="1" applyAlignment="1">
      <alignment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0" xfId="0"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7" borderId="4" xfId="0" applyFill="1" applyBorder="1" applyAlignment="1">
      <alignment horizontal="left" vertical="top" wrapText="1"/>
    </xf>
    <xf numFmtId="0" fontId="0" fillId="7" borderId="5" xfId="0" applyFill="1" applyBorder="1" applyAlignment="1">
      <alignment horizontal="left" vertical="top" wrapText="1"/>
    </xf>
    <xf numFmtId="0" fontId="0" fillId="7" borderId="6" xfId="0" applyFill="1" applyBorder="1" applyAlignment="1">
      <alignment horizontal="left" vertical="top" wrapText="1"/>
    </xf>
    <xf numFmtId="0" fontId="0" fillId="7" borderId="7" xfId="0" applyFill="1" applyBorder="1" applyAlignment="1">
      <alignment horizontal="left" vertical="top" wrapText="1"/>
    </xf>
    <xf numFmtId="0" fontId="0" fillId="7" borderId="0" xfId="0" applyFill="1" applyAlignment="1">
      <alignment horizontal="left" vertical="top" wrapText="1"/>
    </xf>
    <xf numFmtId="0" fontId="0" fillId="7" borderId="8" xfId="0" applyFill="1" applyBorder="1" applyAlignment="1">
      <alignment horizontal="left" vertical="top" wrapText="1"/>
    </xf>
    <xf numFmtId="0" fontId="0" fillId="7" borderId="9" xfId="0" applyFill="1" applyBorder="1" applyAlignment="1">
      <alignment horizontal="left" vertical="top" wrapText="1"/>
    </xf>
    <xf numFmtId="0" fontId="0" fillId="7" borderId="10" xfId="0" applyFill="1" applyBorder="1" applyAlignment="1">
      <alignment horizontal="left" vertical="top" wrapText="1"/>
    </xf>
    <xf numFmtId="0" fontId="0" fillId="7" borderId="11" xfId="0" applyFill="1" applyBorder="1" applyAlignment="1">
      <alignment horizontal="left" vertical="top" wrapText="1"/>
    </xf>
    <xf numFmtId="0" fontId="6" fillId="0" borderId="0" xfId="0" quotePrefix="1" applyFont="1" applyAlignment="1">
      <alignment horizontal="left" vertical="top"/>
    </xf>
    <xf numFmtId="0" fontId="0" fillId="0" borderId="0" xfId="0"/>
    <xf numFmtId="0" fontId="1" fillId="2" borderId="0" xfId="0" applyFont="1" applyFill="1" applyAlignment="1">
      <alignment vertical="center"/>
    </xf>
  </cellXfs>
  <cellStyles count="1">
    <cellStyle name="Normal" xfId="0" builtinId="0"/>
  </cellStyles>
  <dxfs count="29">
    <dxf>
      <font>
        <color rgb="FFC00000"/>
      </font>
    </dxf>
    <dxf>
      <font>
        <color rgb="FFC00000"/>
      </font>
    </dxf>
    <dxf>
      <font>
        <b/>
        <color rgb="FF9C0006"/>
      </font>
      <fill>
        <patternFill patternType="solid">
          <bgColor rgb="FFFCE4D6"/>
        </patternFill>
      </fill>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1"/>
        <c:ser>
          <c:idx val="0"/>
          <c:order val="0"/>
          <c:tx>
            <c:v>Total Sales</c:v>
          </c:tx>
          <c:cat>
            <c:numRef>
              <c:f>Output!$A$20:$A$49</c:f>
              <c:numCache>
                <c:formatCode>m/d/yyyy</c:formatCode>
                <c:ptCount val="30"/>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numCache>
            </c:numRef>
          </c:cat>
          <c:val>
            <c:numRef>
              <c:f>Output!$F$20:$F$49</c:f>
              <c:numCache>
                <c:formatCode>\£#,##0.00</c:formatCode>
                <c:ptCount val="30"/>
                <c:pt idx="0">
                  <c:v>1285199.1045179663</c:v>
                </c:pt>
                <c:pt idx="1">
                  <c:v>1191468.211179046</c:v>
                </c:pt>
                <c:pt idx="2">
                  <c:v>1320726.6384934895</c:v>
                </c:pt>
                <c:pt idx="3">
                  <c:v>1632518.7966034752</c:v>
                </c:pt>
                <c:pt idx="4">
                  <c:v>2066828.9161224479</c:v>
                </c:pt>
                <c:pt idx="5">
                  <c:v>2551417.6581885014</c:v>
                </c:pt>
                <c:pt idx="6">
                  <c:v>2006916.6970003149</c:v>
                </c:pt>
                <c:pt idx="7">
                  <c:v>6760699.8851074763</c:v>
                </c:pt>
                <c:pt idx="8">
                  <c:v>2056802.3485130686</c:v>
                </c:pt>
                <c:pt idx="9">
                  <c:v>1751863.6551622325</c:v>
                </c:pt>
                <c:pt idx="10">
                  <c:v>1786598.8722036295</c:v>
                </c:pt>
                <c:pt idx="11">
                  <c:v>2083333.6373388586</c:v>
                </c:pt>
                <c:pt idx="12">
                  <c:v>1513724.5076046817</c:v>
                </c:pt>
                <c:pt idx="13">
                  <c:v>1733221.9177548266</c:v>
                </c:pt>
                <c:pt idx="14">
                  <c:v>1760224.3692645461</c:v>
                </c:pt>
                <c:pt idx="15">
                  <c:v>2526490.9187944815</c:v>
                </c:pt>
                <c:pt idx="16">
                  <c:v>2629319.2323037493</c:v>
                </c:pt>
                <c:pt idx="17">
                  <c:v>3092476.6089978712</c:v>
                </c:pt>
                <c:pt idx="18">
                  <c:v>3296520.655643071</c:v>
                </c:pt>
                <c:pt idx="19">
                  <c:v>2435490.96144184</c:v>
                </c:pt>
                <c:pt idx="20">
                  <c:v>3227304.5986245135</c:v>
                </c:pt>
                <c:pt idx="21">
                  <c:v>2847320.2191283382</c:v>
                </c:pt>
                <c:pt idx="22">
                  <c:v>2064020.8083337038</c:v>
                </c:pt>
                <c:pt idx="23">
                  <c:v>2146315.1718598902</c:v>
                </c:pt>
                <c:pt idx="24">
                  <c:v>2109073.5205594781</c:v>
                </c:pt>
                <c:pt idx="25">
                  <c:v>1827374.8496907316</c:v>
                </c:pt>
                <c:pt idx="26">
                  <c:v>2276394.0646592099</c:v>
                </c:pt>
                <c:pt idx="27">
                  <c:v>2184653.8926735427</c:v>
                </c:pt>
                <c:pt idx="28">
                  <c:v>3190270.8887852351</c:v>
                </c:pt>
                <c:pt idx="29">
                  <c:v>2833991.1742091887</c:v>
                </c:pt>
              </c:numCache>
            </c:numRef>
          </c:val>
          <c:smooth val="0"/>
          <c:extLst>
            <c:ext xmlns:c16="http://schemas.microsoft.com/office/drawing/2014/chart" uri="{C3380CC4-5D6E-409C-BE32-E72D297353CC}">
              <c16:uniqueId val="{00000000-69F6-406E-932F-15DC80B76DBF}"/>
            </c:ext>
          </c:extLst>
        </c:ser>
        <c:ser>
          <c:idx val="1"/>
          <c:order val="1"/>
          <c:tx>
            <c:v>Prior Year Sales</c:v>
          </c:tx>
          <c:cat>
            <c:numRef>
              <c:f>Output!$A$20:$A$49</c:f>
              <c:numCache>
                <c:formatCode>m/d/yyyy</c:formatCode>
                <c:ptCount val="30"/>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numCache>
            </c:numRef>
          </c:cat>
          <c:val>
            <c:numRef>
              <c:f>Output!$L$20:$L$49</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1285199.1045179663</c:v>
                </c:pt>
                <c:pt idx="13">
                  <c:v>1191468.211179046</c:v>
                </c:pt>
                <c:pt idx="14">
                  <c:v>1320726.6384934895</c:v>
                </c:pt>
                <c:pt idx="15">
                  <c:v>1632518.7966034752</c:v>
                </c:pt>
                <c:pt idx="16">
                  <c:v>2066828.9161224479</c:v>
                </c:pt>
                <c:pt idx="17">
                  <c:v>2551417.6581885014</c:v>
                </c:pt>
                <c:pt idx="18">
                  <c:v>2006916.6970003149</c:v>
                </c:pt>
                <c:pt idx="19">
                  <c:v>6760699.8851074763</c:v>
                </c:pt>
                <c:pt idx="20">
                  <c:v>2056802.3485130686</c:v>
                </c:pt>
                <c:pt idx="21">
                  <c:v>1751863.6551622325</c:v>
                </c:pt>
                <c:pt idx="22">
                  <c:v>1786598.8722036295</c:v>
                </c:pt>
                <c:pt idx="23">
                  <c:v>2083333.6373388586</c:v>
                </c:pt>
                <c:pt idx="24">
                  <c:v>1513724.5076046817</c:v>
                </c:pt>
                <c:pt idx="25">
                  <c:v>1733221.9177548266</c:v>
                </c:pt>
                <c:pt idx="26">
                  <c:v>1760224.3692645461</c:v>
                </c:pt>
                <c:pt idx="27">
                  <c:v>2526490.9187944815</c:v>
                </c:pt>
                <c:pt idx="28">
                  <c:v>2629319.2323037493</c:v>
                </c:pt>
                <c:pt idx="29">
                  <c:v>3092476.6089978712</c:v>
                </c:pt>
              </c:numCache>
            </c:numRef>
          </c:val>
          <c:smooth val="0"/>
          <c:extLst>
            <c:ext xmlns:c16="http://schemas.microsoft.com/office/drawing/2014/chart" uri="{C3380CC4-5D6E-409C-BE32-E72D297353CC}">
              <c16:uniqueId val="{00000001-69F6-406E-932F-15DC80B76DBF}"/>
            </c:ext>
          </c:extLst>
        </c:ser>
        <c:dLbls>
          <c:showLegendKey val="0"/>
          <c:showVal val="0"/>
          <c:showCatName val="0"/>
          <c:showSerName val="0"/>
          <c:showPercent val="0"/>
          <c:showBubbleSize val="0"/>
        </c:dLbls>
        <c:marker val="1"/>
        <c:smooth val="0"/>
        <c:axId val="48650112"/>
        <c:axId val="48672768"/>
      </c:lineChart>
      <c:dateAx>
        <c:axId val="48650112"/>
        <c:scaling>
          <c:orientation val="minMax"/>
        </c:scaling>
        <c:delete val="0"/>
        <c:axPos val="b"/>
        <c:majorGridlines>
          <c:spPr>
            <a:ln w="9525">
              <a:solidFill>
                <a:srgbClr val="CCCCCC"/>
              </a:solidFill>
              <a:prstDash val="dash"/>
            </a:ln>
          </c:spPr>
        </c:majorGridlines>
        <c:title>
          <c:tx>
            <c:rich>
              <a:bodyPr/>
              <a:lstStyle/>
              <a:p>
                <a:r>
                  <a:rPr lang="en-GB"/>
                  <a:t>Month</a:t>
                </a:r>
              </a:p>
            </c:rich>
          </c:tx>
          <c:overlay val="0"/>
        </c:title>
        <c:numFmt formatCode="mmm\ yyyy" sourceLinked="0"/>
        <c:majorTickMark val="none"/>
        <c:minorTickMark val="none"/>
        <c:tickLblPos val="nextTo"/>
        <c:crossAx val="48672768"/>
        <c:crosses val="autoZero"/>
        <c:auto val="1"/>
        <c:lblOffset val="100"/>
        <c:baseTimeUnit val="months"/>
      </c:dateAx>
      <c:valAx>
        <c:axId val="48672768"/>
        <c:scaling>
          <c:orientation val="minMax"/>
        </c:scaling>
        <c:delete val="0"/>
        <c:axPos val="l"/>
        <c:majorGridlines>
          <c:spPr>
            <a:ln w="9525">
              <a:solidFill>
                <a:srgbClr val="CCCCCC"/>
              </a:solidFill>
              <a:prstDash val="dash"/>
            </a:ln>
          </c:spPr>
        </c:majorGridlines>
        <c:title>
          <c:tx>
            <c:rich>
              <a:bodyPr/>
              <a:lstStyle/>
              <a:p>
                <a:r>
                  <a:rPr lang="en-GB"/>
                  <a:t>Sales (£)</a:t>
                </a:r>
              </a:p>
            </c:rich>
          </c:tx>
          <c:overlay val="0"/>
        </c:title>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YTD Sales</c:v>
          </c:tx>
          <c:invertIfNegative val="1"/>
          <c:cat>
            <c:strRef>
              <c:f>Output!$K$6:$K$10</c:f>
              <c:strCache>
                <c:ptCount val="5"/>
                <c:pt idx="0">
                  <c:v>Gate Bistro</c:v>
                </c:pt>
                <c:pt idx="1">
                  <c:v>North Kitchen</c:v>
                </c:pt>
                <c:pt idx="2">
                  <c:v>Oak Coffee Bar</c:v>
                </c:pt>
                <c:pt idx="3">
                  <c:v>Sky Deli</c:v>
                </c:pt>
                <c:pt idx="4">
                  <c:v>Terminal Kitchen</c:v>
                </c:pt>
              </c:strCache>
            </c:strRef>
          </c:cat>
          <c:val>
            <c:numRef>
              <c:f>Output!$L$6:$L$10</c:f>
              <c:numCache>
                <c:formatCode>\£#,##0.00</c:formatCode>
                <c:ptCount val="5"/>
                <c:pt idx="0">
                  <c:v>5645014.6025456879</c:v>
                </c:pt>
                <c:pt idx="1">
                  <c:v>23332270.8694764</c:v>
                </c:pt>
                <c:pt idx="2">
                  <c:v>5236409.7690354614</c:v>
                </c:pt>
                <c:pt idx="3">
                  <c:v>2476930.3534899289</c:v>
                </c:pt>
                <c:pt idx="4">
                  <c:v>7003562.765781424</c:v>
                </c:pt>
              </c:numCache>
            </c:numRef>
          </c:val>
          <c:extLst>
            <c:ext xmlns:c16="http://schemas.microsoft.com/office/drawing/2014/chart" uri="{C3380CC4-5D6E-409C-BE32-E72D297353CC}">
              <c16:uniqueId val="{00000000-950F-41C7-941D-EE4182F2E02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n-GB"/>
                  <a:t>Sales (£)</a:t>
                </a:r>
              </a:p>
            </c:rich>
          </c:tx>
          <c:overlay val="0"/>
        </c:title>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0</xdr:colOff>
      <xdr:row>17</xdr:row>
      <xdr:rowOff>0</xdr:rowOff>
    </xdr:from>
    <xdr:to>
      <xdr:col>25</xdr:col>
      <xdr:colOff>0</xdr:colOff>
      <xdr:row>34</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34</xdr:row>
      <xdr:rowOff>0</xdr:rowOff>
    </xdr:from>
    <xdr:to>
      <xdr:col>25</xdr:col>
      <xdr:colOff>0</xdr:colOff>
      <xdr:row>49</xdr:row>
      <xdr:rowOff>0</xdr:rowOff>
    </xdr:to>
    <xdr:graphicFrame macro="">
      <xdr:nvGraphicFramePr>
        <xdr:cNvPr id="3" nam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tailDataTable" displayName="RetailDataTable" ref="A3:O125" headerRowDxfId="28" dataDxfId="27" totalsRowDxfId="26">
  <tableColumns count="15">
    <tableColumn id="1" xr3:uid="{00000000-0010-0000-0000-000001000000}" name="date" dataDxfId="25"/>
    <tableColumn id="2" xr3:uid="{00000000-0010-0000-0000-000002000000}" name="year" dataDxfId="24"/>
    <tableColumn id="3" xr3:uid="{00000000-0010-0000-0000-000003000000}" name="month_number" dataDxfId="23"/>
    <tableColumn id="4" xr3:uid="{00000000-0010-0000-0000-000004000000}" name="month" dataDxfId="22"/>
    <tableColumn id="5" xr3:uid="{00000000-0010-0000-0000-000005000000}" name="category_group" dataDxfId="21"/>
    <tableColumn id="6" xr3:uid="{00000000-0010-0000-0000-000006000000}" name="outlet_name" dataDxfId="20"/>
    <tableColumn id="7" xr3:uid="{00000000-0010-0000-0000-000007000000}" name="outlet_type" dataDxfId="19"/>
    <tableColumn id="8" xr3:uid="{00000000-0010-0000-0000-000008000000}" name="unit_location" dataDxfId="18"/>
    <tableColumn id="9" xr3:uid="{00000000-0010-0000-0000-000009000000}" name="unit_size_sqm" dataDxfId="17"/>
    <tableColumn id="10" xr3:uid="{00000000-0010-0000-0000-00000A000000}" name="transactions" dataDxfId="16"/>
    <tableColumn id="11" xr3:uid="{00000000-0010-0000-0000-00000B000000}" name="total_sales" dataDxfId="15"/>
    <tableColumn id="12" xr3:uid="{00000000-0010-0000-0000-00000C000000}" name="sales_per_transaction" dataDxfId="14"/>
    <tableColumn id="13" xr3:uid="{00000000-0010-0000-0000-00000D000000}" name="sales_per_sqm" dataDxfId="13"/>
    <tableColumn id="14" xr3:uid="{00000000-0010-0000-0000-00000E000000}" name="common_12_month_period" dataDxfId="12"/>
    <tableColumn id="15" xr3:uid="{00000000-0010-0000-0000-00000F000000}" name="data_quality_flag"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assengerDataTable" displayName="PassengerDataTable" ref="A3:E33" headerRowDxfId="10" dataDxfId="9" totalsRowDxfId="8">
  <tableColumns count="5">
    <tableColumn id="1" xr3:uid="{00000000-0010-0000-0100-000001000000}" name="date" dataDxfId="7"/>
    <tableColumn id="2" xr3:uid="{00000000-0010-0000-0100-000002000000}" name="year" dataDxfId="6"/>
    <tableColumn id="3" xr3:uid="{00000000-0010-0000-0100-000003000000}" name="month_number" dataDxfId="5"/>
    <tableColumn id="4" xr3:uid="{00000000-0010-0000-0100-000004000000}" name="month" dataDxfId="4"/>
    <tableColumn id="5" xr3:uid="{00000000-0010-0000-0100-000005000000}" name="passenger_amount"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utletYTDTable" displayName="OutletYTDTable" ref="K5:R10">
  <tableColumns count="8">
    <tableColumn id="1" xr3:uid="{00000000-0010-0000-0200-000001000000}" name="Outlet"/>
    <tableColumn id="2" xr3:uid="{00000000-0010-0000-0200-000002000000}" name="YTD Sales"/>
    <tableColumn id="3" xr3:uid="{00000000-0010-0000-0200-000003000000}" name="Prior YTD Sales"/>
    <tableColumn id="4" xr3:uid="{00000000-0010-0000-0200-000004000000}" name="Sales YoY"/>
    <tableColumn id="5" xr3:uid="{00000000-0010-0000-0200-000005000000}" name="YTD Transactions"/>
    <tableColumn id="6" xr3:uid="{00000000-0010-0000-0200-000006000000}" name="Avg Transaction Value"/>
    <tableColumn id="7" xr3:uid="{00000000-0010-0000-0200-000007000000}" name="Sales per Sqm"/>
    <tableColumn id="8" xr3:uid="{00000000-0010-0000-0200-000008000000}" name="Estate Sales Sh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onthlyOutputTable" displayName="MonthlyOutputTable" ref="A19:O49">
  <tableColumns count="15">
    <tableColumn id="1" xr3:uid="{00000000-0010-0000-0300-000001000000}" name="date"/>
    <tableColumn id="2" xr3:uid="{00000000-0010-0000-0300-000002000000}" name="year"/>
    <tableColumn id="3" xr3:uid="{00000000-0010-0000-0300-000003000000}" name="month_number"/>
    <tableColumn id="4" xr3:uid="{00000000-0010-0000-0300-000004000000}" name="month"/>
    <tableColumn id="5" xr3:uid="{00000000-0010-0000-0300-000005000000}" name="active_outlets"/>
    <tableColumn id="6" xr3:uid="{00000000-0010-0000-0300-000006000000}" name="total_sales"/>
    <tableColumn id="7" xr3:uid="{00000000-0010-0000-0300-000007000000}" name="total_transactions"/>
    <tableColumn id="8" xr3:uid="{00000000-0010-0000-0300-000008000000}" name="passenger_amount"/>
    <tableColumn id="9" xr3:uid="{00000000-0010-0000-0300-000009000000}" name="sales_per_transaction"/>
    <tableColumn id="10" xr3:uid="{00000000-0010-0000-0300-00000A000000}" name="sales_per_1000_passengers"/>
    <tableColumn id="11" xr3:uid="{00000000-0010-0000-0300-00000B000000}" name="transactions_per_1000_passengers"/>
    <tableColumn id="12" xr3:uid="{00000000-0010-0000-0300-00000C000000}" name="prior_year_sales"/>
    <tableColumn id="13" xr3:uid="{00000000-0010-0000-0300-00000D000000}" name="sales_yoy_pct"/>
    <tableColumn id="14" xr3:uid="{00000000-0010-0000-0300-00000E000000}" name="ytd_sales"/>
    <tableColumn id="15" xr3:uid="{00000000-0010-0000-0300-00000F000000}" name="ytd_sales_yoy_pc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D4FE2-6887-42DE-901E-ECDE4967BD0C}">
  <dimension ref="B2:T28"/>
  <sheetViews>
    <sheetView workbookViewId="0">
      <selection sqref="A1:XFD1048576"/>
    </sheetView>
  </sheetViews>
  <sheetFormatPr defaultRowHeight="14.25"/>
  <sheetData>
    <row r="2" spans="2:20" ht="15">
      <c r="B2" s="28" t="s">
        <v>106</v>
      </c>
    </row>
    <row r="4" spans="2:20">
      <c r="B4" t="s">
        <v>107</v>
      </c>
    </row>
    <row r="6" spans="2:20">
      <c r="B6" s="36" t="s">
        <v>108</v>
      </c>
      <c r="C6" s="37"/>
      <c r="D6" s="37"/>
      <c r="E6" s="37"/>
      <c r="F6" s="37"/>
      <c r="G6" s="37"/>
      <c r="H6" s="37"/>
      <c r="I6" s="37"/>
      <c r="J6" s="37"/>
      <c r="K6" s="37"/>
      <c r="L6" s="37"/>
      <c r="M6" s="37"/>
      <c r="N6" s="37"/>
      <c r="O6" s="37"/>
      <c r="P6" s="37"/>
      <c r="Q6" s="37"/>
      <c r="R6" s="37"/>
      <c r="S6" s="38"/>
      <c r="T6" s="29"/>
    </row>
    <row r="7" spans="2:20">
      <c r="B7" s="39"/>
      <c r="C7" s="40"/>
      <c r="D7" s="40"/>
      <c r="E7" s="40"/>
      <c r="F7" s="40"/>
      <c r="G7" s="40"/>
      <c r="H7" s="40"/>
      <c r="I7" s="40"/>
      <c r="J7" s="40"/>
      <c r="K7" s="40"/>
      <c r="L7" s="40"/>
      <c r="M7" s="40"/>
      <c r="N7" s="40"/>
      <c r="O7" s="40"/>
      <c r="P7" s="40"/>
      <c r="Q7" s="40"/>
      <c r="R7" s="40"/>
      <c r="S7" s="41"/>
      <c r="T7" s="29"/>
    </row>
    <row r="8" spans="2:20">
      <c r="B8" s="39"/>
      <c r="C8" s="40"/>
      <c r="D8" s="40"/>
      <c r="E8" s="40"/>
      <c r="F8" s="40"/>
      <c r="G8" s="40"/>
      <c r="H8" s="40"/>
      <c r="I8" s="40"/>
      <c r="J8" s="40"/>
      <c r="K8" s="40"/>
      <c r="L8" s="40"/>
      <c r="M8" s="40"/>
      <c r="N8" s="40"/>
      <c r="O8" s="40"/>
      <c r="P8" s="40"/>
      <c r="Q8" s="40"/>
      <c r="R8" s="40"/>
      <c r="S8" s="41"/>
      <c r="T8" s="29"/>
    </row>
    <row r="9" spans="2:20">
      <c r="B9" s="39"/>
      <c r="C9" s="40"/>
      <c r="D9" s="40"/>
      <c r="E9" s="40"/>
      <c r="F9" s="40"/>
      <c r="G9" s="40"/>
      <c r="H9" s="40"/>
      <c r="I9" s="40"/>
      <c r="J9" s="40"/>
      <c r="K9" s="40"/>
      <c r="L9" s="40"/>
      <c r="M9" s="40"/>
      <c r="N9" s="40"/>
      <c r="O9" s="40"/>
      <c r="P9" s="40"/>
      <c r="Q9" s="40"/>
      <c r="R9" s="40"/>
      <c r="S9" s="41"/>
      <c r="T9" s="29"/>
    </row>
    <row r="10" spans="2:20">
      <c r="B10" s="39"/>
      <c r="C10" s="40"/>
      <c r="D10" s="40"/>
      <c r="E10" s="40"/>
      <c r="F10" s="40"/>
      <c r="G10" s="40"/>
      <c r="H10" s="40"/>
      <c r="I10" s="40"/>
      <c r="J10" s="40"/>
      <c r="K10" s="40"/>
      <c r="L10" s="40"/>
      <c r="M10" s="40"/>
      <c r="N10" s="40"/>
      <c r="O10" s="40"/>
      <c r="P10" s="40"/>
      <c r="Q10" s="40"/>
      <c r="R10" s="40"/>
      <c r="S10" s="41"/>
      <c r="T10" s="29"/>
    </row>
    <row r="11" spans="2:20">
      <c r="B11" s="39"/>
      <c r="C11" s="40"/>
      <c r="D11" s="40"/>
      <c r="E11" s="40"/>
      <c r="F11" s="40"/>
      <c r="G11" s="40"/>
      <c r="H11" s="40"/>
      <c r="I11" s="40"/>
      <c r="J11" s="40"/>
      <c r="K11" s="40"/>
      <c r="L11" s="40"/>
      <c r="M11" s="40"/>
      <c r="N11" s="40"/>
      <c r="O11" s="40"/>
      <c r="P11" s="40"/>
      <c r="Q11" s="40"/>
      <c r="R11" s="40"/>
      <c r="S11" s="41"/>
      <c r="T11" s="29"/>
    </row>
    <row r="12" spans="2:20">
      <c r="B12" s="39"/>
      <c r="C12" s="40"/>
      <c r="D12" s="40"/>
      <c r="E12" s="40"/>
      <c r="F12" s="40"/>
      <c r="G12" s="40"/>
      <c r="H12" s="40"/>
      <c r="I12" s="40"/>
      <c r="J12" s="40"/>
      <c r="K12" s="40"/>
      <c r="L12" s="40"/>
      <c r="M12" s="40"/>
      <c r="N12" s="40"/>
      <c r="O12" s="40"/>
      <c r="P12" s="40"/>
      <c r="Q12" s="40"/>
      <c r="R12" s="40"/>
      <c r="S12" s="41"/>
      <c r="T12" s="29"/>
    </row>
    <row r="13" spans="2:20">
      <c r="B13" s="42"/>
      <c r="C13" s="43"/>
      <c r="D13" s="43"/>
      <c r="E13" s="43"/>
      <c r="F13" s="43"/>
      <c r="G13" s="43"/>
      <c r="H13" s="43"/>
      <c r="I13" s="43"/>
      <c r="J13" s="43"/>
      <c r="K13" s="43"/>
      <c r="L13" s="43"/>
      <c r="M13" s="43"/>
      <c r="N13" s="43"/>
      <c r="O13" s="43"/>
      <c r="P13" s="43"/>
      <c r="Q13" s="43"/>
      <c r="R13" s="43"/>
      <c r="S13" s="44"/>
      <c r="T13" s="29"/>
    </row>
    <row r="15" spans="2:20">
      <c r="B15" t="s">
        <v>109</v>
      </c>
    </row>
    <row r="17" spans="2:19">
      <c r="B17" s="45" t="s">
        <v>110</v>
      </c>
      <c r="C17" s="46"/>
      <c r="D17" s="46"/>
      <c r="E17" s="46"/>
      <c r="F17" s="46"/>
      <c r="G17" s="46"/>
      <c r="H17" s="46"/>
      <c r="I17" s="46"/>
      <c r="J17" s="46"/>
      <c r="K17" s="46"/>
      <c r="L17" s="46"/>
      <c r="M17" s="46"/>
      <c r="N17" s="46"/>
      <c r="O17" s="46"/>
      <c r="P17" s="46"/>
      <c r="Q17" s="46"/>
      <c r="R17" s="46"/>
      <c r="S17" s="47"/>
    </row>
    <row r="18" spans="2:19">
      <c r="B18" s="48"/>
      <c r="C18" s="49"/>
      <c r="D18" s="49"/>
      <c r="E18" s="49"/>
      <c r="F18" s="49"/>
      <c r="G18" s="49"/>
      <c r="H18" s="49"/>
      <c r="I18" s="49"/>
      <c r="J18" s="49"/>
      <c r="K18" s="49"/>
      <c r="L18" s="49"/>
      <c r="M18" s="49"/>
      <c r="N18" s="49"/>
      <c r="O18" s="49"/>
      <c r="P18" s="49"/>
      <c r="Q18" s="49"/>
      <c r="R18" s="49"/>
      <c r="S18" s="50"/>
    </row>
    <row r="19" spans="2:19">
      <c r="B19" s="48"/>
      <c r="C19" s="49"/>
      <c r="D19" s="49"/>
      <c r="E19" s="49"/>
      <c r="F19" s="49"/>
      <c r="G19" s="49"/>
      <c r="H19" s="49"/>
      <c r="I19" s="49"/>
      <c r="J19" s="49"/>
      <c r="K19" s="49"/>
      <c r="L19" s="49"/>
      <c r="M19" s="49"/>
      <c r="N19" s="49"/>
      <c r="O19" s="49"/>
      <c r="P19" s="49"/>
      <c r="Q19" s="49"/>
      <c r="R19" s="49"/>
      <c r="S19" s="50"/>
    </row>
    <row r="20" spans="2:19">
      <c r="B20" s="48"/>
      <c r="C20" s="49"/>
      <c r="D20" s="49"/>
      <c r="E20" s="49"/>
      <c r="F20" s="49"/>
      <c r="G20" s="49"/>
      <c r="H20" s="49"/>
      <c r="I20" s="49"/>
      <c r="J20" s="49"/>
      <c r="K20" s="49"/>
      <c r="L20" s="49"/>
      <c r="M20" s="49"/>
      <c r="N20" s="49"/>
      <c r="O20" s="49"/>
      <c r="P20" s="49"/>
      <c r="Q20" s="49"/>
      <c r="R20" s="49"/>
      <c r="S20" s="50"/>
    </row>
    <row r="21" spans="2:19">
      <c r="B21" s="48"/>
      <c r="C21" s="49"/>
      <c r="D21" s="49"/>
      <c r="E21" s="49"/>
      <c r="F21" s="49"/>
      <c r="G21" s="49"/>
      <c r="H21" s="49"/>
      <c r="I21" s="49"/>
      <c r="J21" s="49"/>
      <c r="K21" s="49"/>
      <c r="L21" s="49"/>
      <c r="M21" s="49"/>
      <c r="N21" s="49"/>
      <c r="O21" s="49"/>
      <c r="P21" s="49"/>
      <c r="Q21" s="49"/>
      <c r="R21" s="49"/>
      <c r="S21" s="50"/>
    </row>
    <row r="22" spans="2:19">
      <c r="B22" s="48"/>
      <c r="C22" s="49"/>
      <c r="D22" s="49"/>
      <c r="E22" s="49"/>
      <c r="F22" s="49"/>
      <c r="G22" s="49"/>
      <c r="H22" s="49"/>
      <c r="I22" s="49"/>
      <c r="J22" s="49"/>
      <c r="K22" s="49"/>
      <c r="L22" s="49"/>
      <c r="M22" s="49"/>
      <c r="N22" s="49"/>
      <c r="O22" s="49"/>
      <c r="P22" s="49"/>
      <c r="Q22" s="49"/>
      <c r="R22" s="49"/>
      <c r="S22" s="50"/>
    </row>
    <row r="23" spans="2:19">
      <c r="B23" s="48"/>
      <c r="C23" s="49"/>
      <c r="D23" s="49"/>
      <c r="E23" s="49"/>
      <c r="F23" s="49"/>
      <c r="G23" s="49"/>
      <c r="H23" s="49"/>
      <c r="I23" s="49"/>
      <c r="J23" s="49"/>
      <c r="K23" s="49"/>
      <c r="L23" s="49"/>
      <c r="M23" s="49"/>
      <c r="N23" s="49"/>
      <c r="O23" s="49"/>
      <c r="P23" s="49"/>
      <c r="Q23" s="49"/>
      <c r="R23" s="49"/>
      <c r="S23" s="50"/>
    </row>
    <row r="24" spans="2:19">
      <c r="B24" s="48"/>
      <c r="C24" s="49"/>
      <c r="D24" s="49"/>
      <c r="E24" s="49"/>
      <c r="F24" s="49"/>
      <c r="G24" s="49"/>
      <c r="H24" s="49"/>
      <c r="I24" s="49"/>
      <c r="J24" s="49"/>
      <c r="K24" s="49"/>
      <c r="L24" s="49"/>
      <c r="M24" s="49"/>
      <c r="N24" s="49"/>
      <c r="O24" s="49"/>
      <c r="P24" s="49"/>
      <c r="Q24" s="49"/>
      <c r="R24" s="49"/>
      <c r="S24" s="50"/>
    </row>
    <row r="25" spans="2:19">
      <c r="B25" s="48"/>
      <c r="C25" s="49"/>
      <c r="D25" s="49"/>
      <c r="E25" s="49"/>
      <c r="F25" s="49"/>
      <c r="G25" s="49"/>
      <c r="H25" s="49"/>
      <c r="I25" s="49"/>
      <c r="J25" s="49"/>
      <c r="K25" s="49"/>
      <c r="L25" s="49"/>
      <c r="M25" s="49"/>
      <c r="N25" s="49"/>
      <c r="O25" s="49"/>
      <c r="P25" s="49"/>
      <c r="Q25" s="49"/>
      <c r="R25" s="49"/>
      <c r="S25" s="50"/>
    </row>
    <row r="26" spans="2:19">
      <c r="B26" s="48"/>
      <c r="C26" s="49"/>
      <c r="D26" s="49"/>
      <c r="E26" s="49"/>
      <c r="F26" s="49"/>
      <c r="G26" s="49"/>
      <c r="H26" s="49"/>
      <c r="I26" s="49"/>
      <c r="J26" s="49"/>
      <c r="K26" s="49"/>
      <c r="L26" s="49"/>
      <c r="M26" s="49"/>
      <c r="N26" s="49"/>
      <c r="O26" s="49"/>
      <c r="P26" s="49"/>
      <c r="Q26" s="49"/>
      <c r="R26" s="49"/>
      <c r="S26" s="50"/>
    </row>
    <row r="27" spans="2:19">
      <c r="B27" s="48"/>
      <c r="C27" s="49"/>
      <c r="D27" s="49"/>
      <c r="E27" s="49"/>
      <c r="F27" s="49"/>
      <c r="G27" s="49"/>
      <c r="H27" s="49"/>
      <c r="I27" s="49"/>
      <c r="J27" s="49"/>
      <c r="K27" s="49"/>
      <c r="L27" s="49"/>
      <c r="M27" s="49"/>
      <c r="N27" s="49"/>
      <c r="O27" s="49"/>
      <c r="P27" s="49"/>
      <c r="Q27" s="49"/>
      <c r="R27" s="49"/>
      <c r="S27" s="50"/>
    </row>
    <row r="28" spans="2:19">
      <c r="B28" s="51"/>
      <c r="C28" s="52"/>
      <c r="D28" s="52"/>
      <c r="E28" s="52"/>
      <c r="F28" s="52"/>
      <c r="G28" s="52"/>
      <c r="H28" s="52"/>
      <c r="I28" s="52"/>
      <c r="J28" s="52"/>
      <c r="K28" s="52"/>
      <c r="L28" s="52"/>
      <c r="M28" s="52"/>
      <c r="N28" s="52"/>
      <c r="O28" s="52"/>
      <c r="P28" s="52"/>
      <c r="Q28" s="52"/>
      <c r="R28" s="52"/>
      <c r="S28" s="53"/>
    </row>
  </sheetData>
  <mergeCells count="2">
    <mergeCell ref="B6:S13"/>
    <mergeCell ref="B17:S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5ED87-CAE3-407D-94EE-852CD510520B}">
  <dimension ref="A1:I123"/>
  <sheetViews>
    <sheetView workbookViewId="0">
      <selection activeCell="N24" sqref="N24"/>
    </sheetView>
  </sheetViews>
  <sheetFormatPr defaultRowHeight="14.25"/>
  <cols>
    <col min="1" max="1" width="7.875" bestFit="1" customWidth="1"/>
    <col min="2" max="2" width="12.625" bestFit="1" customWidth="1"/>
    <col min="3" max="3" width="9.375" bestFit="1" customWidth="1"/>
    <col min="4" max="4" width="17.5" bestFit="1" customWidth="1"/>
    <col min="5" max="5" width="18.5" bestFit="1" customWidth="1"/>
    <col min="6" max="6" width="9.875" bestFit="1" customWidth="1"/>
    <col min="7" max="7" width="19.125" bestFit="1" customWidth="1"/>
    <col min="8" max="8" width="9.875" bestFit="1" customWidth="1"/>
    <col min="9" max="9" width="8.625" bestFit="1" customWidth="1"/>
  </cols>
  <sheetData>
    <row r="1" spans="1:9">
      <c r="A1" s="30" t="s">
        <v>111</v>
      </c>
      <c r="B1" s="30" t="s">
        <v>112</v>
      </c>
      <c r="C1" s="30" t="s">
        <v>113</v>
      </c>
      <c r="D1" s="30" t="s">
        <v>114</v>
      </c>
      <c r="E1" s="30" t="s">
        <v>115</v>
      </c>
      <c r="F1" s="30" t="s">
        <v>116</v>
      </c>
      <c r="G1" s="30" t="s">
        <v>117</v>
      </c>
      <c r="H1" s="30" t="s">
        <v>63</v>
      </c>
      <c r="I1" s="30" t="s">
        <v>62</v>
      </c>
    </row>
    <row r="2" spans="1:9">
      <c r="A2" s="54" t="s">
        <v>17</v>
      </c>
      <c r="B2" s="54" t="s">
        <v>18</v>
      </c>
      <c r="C2" s="54" t="s">
        <v>19</v>
      </c>
      <c r="D2" s="31" t="s">
        <v>118</v>
      </c>
      <c r="E2" s="31" t="s">
        <v>119</v>
      </c>
      <c r="F2" s="31" t="s">
        <v>20</v>
      </c>
      <c r="G2" s="31" t="s">
        <v>120</v>
      </c>
      <c r="H2" s="32">
        <v>6930.596085394287</v>
      </c>
      <c r="I2" s="32">
        <v>144744.87966491355</v>
      </c>
    </row>
    <row r="3" spans="1:9">
      <c r="A3" s="55"/>
      <c r="B3" s="55"/>
      <c r="C3" s="55"/>
      <c r="D3" s="54" t="s">
        <v>121</v>
      </c>
      <c r="E3" s="31" t="s">
        <v>122</v>
      </c>
      <c r="F3" s="31" t="s">
        <v>20</v>
      </c>
      <c r="G3" s="31" t="s">
        <v>120</v>
      </c>
      <c r="H3" s="32">
        <v>9413.0197907501297</v>
      </c>
      <c r="I3" s="32">
        <v>228691.05825276827</v>
      </c>
    </row>
    <row r="4" spans="1:9">
      <c r="A4" s="55"/>
      <c r="B4" s="55"/>
      <c r="C4" s="55"/>
      <c r="D4" s="55"/>
      <c r="E4" s="31" t="s">
        <v>123</v>
      </c>
      <c r="F4" s="31" t="s">
        <v>20</v>
      </c>
      <c r="G4" s="31" t="s">
        <v>120</v>
      </c>
      <c r="H4" s="32">
        <v>17939.191253851914</v>
      </c>
      <c r="I4" s="32">
        <v>199814.14538863179</v>
      </c>
    </row>
    <row r="5" spans="1:9">
      <c r="A5" s="55"/>
      <c r="B5" s="55"/>
      <c r="C5" s="55"/>
      <c r="D5" s="55"/>
      <c r="E5" s="31" t="s">
        <v>124</v>
      </c>
      <c r="F5" s="31" t="s">
        <v>20</v>
      </c>
      <c r="G5" s="31" t="s">
        <v>120</v>
      </c>
      <c r="H5" s="32">
        <v>14655.715188778728</v>
      </c>
      <c r="I5" s="32">
        <v>333749.49067761214</v>
      </c>
    </row>
    <row r="6" spans="1:9">
      <c r="A6" s="55"/>
      <c r="B6" s="55"/>
      <c r="C6" s="55"/>
      <c r="D6" s="55"/>
      <c r="E6" s="31" t="s">
        <v>125</v>
      </c>
      <c r="F6" s="31" t="s">
        <v>20</v>
      </c>
      <c r="G6" s="31" t="s">
        <v>120</v>
      </c>
      <c r="H6" s="32">
        <v>16830.056649848619</v>
      </c>
      <c r="I6" s="32">
        <v>281233.75490716664</v>
      </c>
    </row>
    <row r="7" spans="1:9">
      <c r="A7" s="55"/>
      <c r="B7" s="55"/>
      <c r="C7" s="55"/>
      <c r="D7" s="55"/>
      <c r="E7" s="31" t="s">
        <v>25</v>
      </c>
      <c r="F7" s="31" t="s">
        <v>20</v>
      </c>
      <c r="G7" s="31" t="s">
        <v>120</v>
      </c>
      <c r="H7" s="32">
        <v>26165.642510779442</v>
      </c>
      <c r="I7" s="32">
        <v>379231.62517316849</v>
      </c>
    </row>
    <row r="8" spans="1:9">
      <c r="A8" s="55"/>
      <c r="B8" s="55"/>
      <c r="C8" s="55"/>
      <c r="D8" s="55"/>
      <c r="E8" s="31" t="s">
        <v>126</v>
      </c>
      <c r="F8" s="31" t="s">
        <v>20</v>
      </c>
      <c r="G8" s="31" t="s">
        <v>120</v>
      </c>
      <c r="H8" s="32">
        <v>25846.402845627374</v>
      </c>
      <c r="I8" s="32">
        <v>445530.49462727044</v>
      </c>
    </row>
    <row r="9" spans="1:9">
      <c r="A9" s="55"/>
      <c r="B9" s="55"/>
      <c r="C9" s="55"/>
      <c r="D9" s="55"/>
      <c r="E9" s="31" t="s">
        <v>127</v>
      </c>
      <c r="F9" s="31" t="s">
        <v>20</v>
      </c>
      <c r="G9" s="31" t="s">
        <v>120</v>
      </c>
      <c r="H9" s="32">
        <v>22873.302889927036</v>
      </c>
      <c r="I9" s="32">
        <v>399964.69850277068</v>
      </c>
    </row>
    <row r="10" spans="1:9">
      <c r="A10" s="55"/>
      <c r="B10" s="55"/>
      <c r="C10" s="55"/>
      <c r="D10" s="55"/>
      <c r="E10" s="31" t="s">
        <v>128</v>
      </c>
      <c r="F10" s="31" t="s">
        <v>20</v>
      </c>
      <c r="G10" s="31" t="s">
        <v>120</v>
      </c>
      <c r="H10" s="32">
        <v>17669.770545925581</v>
      </c>
      <c r="I10" s="32">
        <v>388876.26767133386</v>
      </c>
    </row>
    <row r="11" spans="1:9">
      <c r="A11" s="55"/>
      <c r="B11" s="55"/>
      <c r="C11" s="55"/>
      <c r="D11" s="55"/>
      <c r="E11" s="31" t="s">
        <v>129</v>
      </c>
      <c r="F11" s="31" t="s">
        <v>20</v>
      </c>
      <c r="G11" s="31" t="s">
        <v>120</v>
      </c>
      <c r="H11" s="32">
        <v>24593.184162995916</v>
      </c>
      <c r="I11" s="32">
        <v>399015.51314948214</v>
      </c>
    </row>
    <row r="12" spans="1:9">
      <c r="A12" s="55"/>
      <c r="B12" s="55"/>
      <c r="C12" s="55"/>
      <c r="D12" s="55"/>
      <c r="E12" s="31" t="s">
        <v>130</v>
      </c>
      <c r="F12" s="31" t="s">
        <v>20</v>
      </c>
      <c r="G12" s="31" t="s">
        <v>120</v>
      </c>
      <c r="H12" s="32">
        <v>16708.588021351559</v>
      </c>
      <c r="I12" s="32">
        <v>359711.42119533382</v>
      </c>
    </row>
    <row r="13" spans="1:9">
      <c r="A13" s="55"/>
      <c r="B13" s="55"/>
      <c r="C13" s="55"/>
      <c r="D13" s="55"/>
      <c r="E13" s="31" t="s">
        <v>131</v>
      </c>
      <c r="F13" s="31" t="s">
        <v>20</v>
      </c>
      <c r="G13" s="31" t="s">
        <v>120</v>
      </c>
      <c r="H13" s="32">
        <v>20735.486645233043</v>
      </c>
      <c r="I13" s="32">
        <v>295193.05056616338</v>
      </c>
    </row>
    <row r="14" spans="1:9">
      <c r="A14" s="55"/>
      <c r="B14" s="55"/>
      <c r="C14" s="55"/>
      <c r="D14" s="55"/>
      <c r="E14" s="31" t="s">
        <v>119</v>
      </c>
      <c r="F14" s="31" t="s">
        <v>20</v>
      </c>
      <c r="G14" s="31" t="s">
        <v>120</v>
      </c>
      <c r="H14" s="32">
        <v>19333.35522999553</v>
      </c>
      <c r="I14" s="32">
        <v>289865.47030739184</v>
      </c>
    </row>
    <row r="15" spans="1:9">
      <c r="A15" s="55"/>
      <c r="B15" s="55"/>
      <c r="C15" s="55"/>
      <c r="D15" s="54" t="s">
        <v>132</v>
      </c>
      <c r="E15" s="31" t="s">
        <v>122</v>
      </c>
      <c r="F15" s="31" t="s">
        <v>20</v>
      </c>
      <c r="G15" s="31" t="s">
        <v>120</v>
      </c>
      <c r="H15" s="32">
        <v>16111.933263869565</v>
      </c>
      <c r="I15" s="32">
        <v>292270.13867830759</v>
      </c>
    </row>
    <row r="16" spans="1:9">
      <c r="A16" s="55"/>
      <c r="B16" s="55"/>
      <c r="C16" s="55"/>
      <c r="D16" s="55"/>
      <c r="E16" s="31" t="s">
        <v>123</v>
      </c>
      <c r="F16" s="31" t="s">
        <v>20</v>
      </c>
      <c r="G16" s="31" t="s">
        <v>120</v>
      </c>
      <c r="H16" s="32">
        <v>15861.789946731535</v>
      </c>
      <c r="I16" s="32">
        <v>235071.51418333466</v>
      </c>
    </row>
    <row r="17" spans="1:9">
      <c r="A17" s="55"/>
      <c r="B17" s="55"/>
      <c r="C17" s="55"/>
      <c r="D17" s="55"/>
      <c r="E17" s="31" t="s">
        <v>124</v>
      </c>
      <c r="F17" s="31" t="s">
        <v>20</v>
      </c>
      <c r="G17" s="31" t="s">
        <v>120</v>
      </c>
      <c r="H17" s="32">
        <v>13741.486544729167</v>
      </c>
      <c r="I17" s="32">
        <v>292012.16027860035</v>
      </c>
    </row>
    <row r="18" spans="1:9">
      <c r="A18" s="55"/>
      <c r="B18" s="55"/>
      <c r="C18" s="55"/>
      <c r="D18" s="55"/>
      <c r="E18" s="31" t="s">
        <v>125</v>
      </c>
      <c r="F18" s="31" t="s">
        <v>20</v>
      </c>
      <c r="G18" s="31" t="s">
        <v>120</v>
      </c>
      <c r="H18" s="32">
        <v>16814.742903811592</v>
      </c>
      <c r="I18" s="32">
        <v>233875.49230031882</v>
      </c>
    </row>
    <row r="19" spans="1:9">
      <c r="A19" s="55"/>
      <c r="B19" s="55"/>
      <c r="C19" s="55"/>
      <c r="D19" s="55"/>
      <c r="E19" s="31" t="s">
        <v>25</v>
      </c>
      <c r="F19" s="31" t="s">
        <v>20</v>
      </c>
      <c r="G19" s="31" t="s">
        <v>120</v>
      </c>
      <c r="H19" s="32">
        <v>21858.440579330054</v>
      </c>
      <c r="I19" s="32">
        <v>305511.04094866361</v>
      </c>
    </row>
    <row r="20" spans="1:9">
      <c r="A20" s="55"/>
      <c r="B20" s="55"/>
      <c r="C20" s="55"/>
      <c r="D20" s="55"/>
      <c r="E20" s="31" t="s">
        <v>126</v>
      </c>
      <c r="F20" s="31" t="s">
        <v>20</v>
      </c>
      <c r="G20" s="31" t="s">
        <v>120</v>
      </c>
      <c r="H20" s="32">
        <v>24825.179084607877</v>
      </c>
      <c r="I20" s="32">
        <v>285397.26573736832</v>
      </c>
    </row>
    <row r="21" spans="1:9">
      <c r="A21" s="55"/>
      <c r="B21" s="54" t="s">
        <v>38</v>
      </c>
      <c r="C21" s="54" t="s">
        <v>33</v>
      </c>
      <c r="D21" s="54" t="s">
        <v>118</v>
      </c>
      <c r="E21" s="31" t="s">
        <v>122</v>
      </c>
      <c r="F21" s="31" t="s">
        <v>34</v>
      </c>
      <c r="G21" s="31" t="s">
        <v>133</v>
      </c>
      <c r="H21" s="32">
        <v>29433.736571933096</v>
      </c>
      <c r="I21" s="32">
        <v>283173.55100147286</v>
      </c>
    </row>
    <row r="22" spans="1:9">
      <c r="A22" s="55"/>
      <c r="B22" s="55"/>
      <c r="C22" s="55"/>
      <c r="D22" s="55"/>
      <c r="E22" s="31" t="s">
        <v>123</v>
      </c>
      <c r="F22" s="31" t="s">
        <v>34</v>
      </c>
      <c r="G22" s="31" t="s">
        <v>133</v>
      </c>
      <c r="H22" s="32">
        <v>33870.636792874648</v>
      </c>
      <c r="I22" s="32">
        <v>317239.04022079665</v>
      </c>
    </row>
    <row r="23" spans="1:9">
      <c r="A23" s="55"/>
      <c r="B23" s="55"/>
      <c r="C23" s="55"/>
      <c r="D23" s="55"/>
      <c r="E23" s="31" t="s">
        <v>124</v>
      </c>
      <c r="F23" s="31" t="s">
        <v>34</v>
      </c>
      <c r="G23" s="31" t="s">
        <v>133</v>
      </c>
      <c r="H23" s="32">
        <v>25452.317442700649</v>
      </c>
      <c r="I23" s="32">
        <v>406520.30003956053</v>
      </c>
    </row>
    <row r="24" spans="1:9">
      <c r="A24" s="55"/>
      <c r="B24" s="55"/>
      <c r="C24" s="55"/>
      <c r="D24" s="55"/>
      <c r="E24" s="31" t="s">
        <v>125</v>
      </c>
      <c r="F24" s="31" t="s">
        <v>34</v>
      </c>
      <c r="G24" s="31" t="s">
        <v>133</v>
      </c>
      <c r="H24" s="32">
        <v>32054.894688785615</v>
      </c>
      <c r="I24" s="32">
        <v>434253.38763066358</v>
      </c>
    </row>
    <row r="25" spans="1:9">
      <c r="A25" s="55"/>
      <c r="B25" s="55"/>
      <c r="C25" s="55"/>
      <c r="D25" s="55"/>
      <c r="E25" s="31" t="s">
        <v>25</v>
      </c>
      <c r="F25" s="31" t="s">
        <v>34</v>
      </c>
      <c r="G25" s="31" t="s">
        <v>133</v>
      </c>
      <c r="H25" s="32">
        <v>33878.082144079468</v>
      </c>
      <c r="I25" s="32">
        <v>348854.70905609993</v>
      </c>
    </row>
    <row r="26" spans="1:9">
      <c r="A26" s="55"/>
      <c r="B26" s="55"/>
      <c r="C26" s="55"/>
      <c r="D26" s="55"/>
      <c r="E26" s="31" t="s">
        <v>126</v>
      </c>
      <c r="F26" s="31" t="s">
        <v>34</v>
      </c>
      <c r="G26" s="31" t="s">
        <v>133</v>
      </c>
      <c r="H26" s="32">
        <v>45283.912536271913</v>
      </c>
      <c r="I26" s="32">
        <v>593538.51750699175</v>
      </c>
    </row>
    <row r="27" spans="1:9">
      <c r="A27" s="55"/>
      <c r="B27" s="55"/>
      <c r="C27" s="55"/>
      <c r="D27" s="55"/>
      <c r="E27" s="31" t="s">
        <v>127</v>
      </c>
      <c r="F27" s="31" t="s">
        <v>34</v>
      </c>
      <c r="G27" s="31" t="s">
        <v>133</v>
      </c>
      <c r="H27" s="32">
        <v>37922.194377171116</v>
      </c>
      <c r="I27" s="32">
        <v>577074.15734839521</v>
      </c>
    </row>
    <row r="28" spans="1:9">
      <c r="A28" s="55"/>
      <c r="B28" s="55"/>
      <c r="C28" s="55"/>
      <c r="D28" s="55"/>
      <c r="E28" s="31" t="s">
        <v>128</v>
      </c>
      <c r="F28" s="31" t="s">
        <v>34</v>
      </c>
      <c r="G28" s="31" t="s">
        <v>133</v>
      </c>
      <c r="H28" s="32">
        <v>38398.113162107067</v>
      </c>
      <c r="I28" s="32">
        <v>5161021.19537389</v>
      </c>
    </row>
    <row r="29" spans="1:9">
      <c r="A29" s="55"/>
      <c r="B29" s="55"/>
      <c r="C29" s="55"/>
      <c r="D29" s="55"/>
      <c r="E29" s="31" t="s">
        <v>129</v>
      </c>
      <c r="F29" s="31" t="s">
        <v>34</v>
      </c>
      <c r="G29" s="31" t="s">
        <v>133</v>
      </c>
      <c r="H29" s="32">
        <v>44501.743627588476</v>
      </c>
      <c r="I29" s="32">
        <v>513874.15131606418</v>
      </c>
    </row>
    <row r="30" spans="1:9">
      <c r="A30" s="55"/>
      <c r="B30" s="55"/>
      <c r="C30" s="55"/>
      <c r="D30" s="55"/>
      <c r="E30" s="31" t="s">
        <v>130</v>
      </c>
      <c r="F30" s="31" t="s">
        <v>34</v>
      </c>
      <c r="G30" s="31" t="s">
        <v>133</v>
      </c>
      <c r="H30" s="32">
        <v>39423.333731139151</v>
      </c>
      <c r="I30" s="32">
        <v>393650.66559234413</v>
      </c>
    </row>
    <row r="31" spans="1:9">
      <c r="A31" s="55"/>
      <c r="B31" s="55"/>
      <c r="C31" s="55"/>
      <c r="D31" s="55"/>
      <c r="E31" s="31" t="s">
        <v>131</v>
      </c>
      <c r="F31" s="31" t="s">
        <v>34</v>
      </c>
      <c r="G31" s="31" t="s">
        <v>133</v>
      </c>
      <c r="H31" s="32">
        <v>27129.847613420574</v>
      </c>
      <c r="I31" s="32">
        <v>352104.35312688979</v>
      </c>
    </row>
    <row r="32" spans="1:9">
      <c r="A32" s="55"/>
      <c r="B32" s="55"/>
      <c r="C32" s="55"/>
      <c r="D32" s="55"/>
      <c r="E32" s="31" t="s">
        <v>119</v>
      </c>
      <c r="F32" s="31" t="s">
        <v>34</v>
      </c>
      <c r="G32" s="31" t="s">
        <v>133</v>
      </c>
      <c r="H32" s="32">
        <v>30912.306228432819</v>
      </c>
      <c r="I32" s="32">
        <v>495902.21166261763</v>
      </c>
    </row>
    <row r="33" spans="1:9">
      <c r="A33" s="55"/>
      <c r="B33" s="55"/>
      <c r="C33" s="55"/>
      <c r="D33" s="54" t="s">
        <v>121</v>
      </c>
      <c r="E33" s="31" t="s">
        <v>122</v>
      </c>
      <c r="F33" s="31" t="s">
        <v>34</v>
      </c>
      <c r="G33" s="31" t="s">
        <v>133</v>
      </c>
      <c r="H33" s="32">
        <v>24750.494895424654</v>
      </c>
      <c r="I33" s="32">
        <v>340380.21117523237</v>
      </c>
    </row>
    <row r="34" spans="1:9">
      <c r="A34" s="55"/>
      <c r="B34" s="55"/>
      <c r="C34" s="55"/>
      <c r="D34" s="55"/>
      <c r="E34" s="31" t="s">
        <v>123</v>
      </c>
      <c r="F34" s="31" t="s">
        <v>34</v>
      </c>
      <c r="G34" s="31" t="s">
        <v>133</v>
      </c>
      <c r="H34" s="32">
        <v>26229.900967579884</v>
      </c>
      <c r="I34" s="32">
        <v>252247.11583094727</v>
      </c>
    </row>
    <row r="35" spans="1:9">
      <c r="A35" s="55"/>
      <c r="B35" s="55"/>
      <c r="C35" s="55"/>
      <c r="D35" s="55"/>
      <c r="E35" s="31" t="s">
        <v>124</v>
      </c>
      <c r="F35" s="31" t="s">
        <v>34</v>
      </c>
      <c r="G35" s="31" t="s">
        <v>133</v>
      </c>
      <c r="H35" s="32">
        <v>23377.560677201749</v>
      </c>
      <c r="I35" s="32">
        <v>300082.70451779006</v>
      </c>
    </row>
    <row r="36" spans="1:9">
      <c r="A36" s="55"/>
      <c r="B36" s="55"/>
      <c r="C36" s="55"/>
      <c r="D36" s="55"/>
      <c r="E36" s="31" t="s">
        <v>125</v>
      </c>
      <c r="F36" s="31" t="s">
        <v>34</v>
      </c>
      <c r="G36" s="31" t="s">
        <v>133</v>
      </c>
      <c r="H36" s="32">
        <v>36302.334606585348</v>
      </c>
      <c r="I36" s="32">
        <v>374099.2706148359</v>
      </c>
    </row>
    <row r="37" spans="1:9">
      <c r="A37" s="55"/>
      <c r="B37" s="55"/>
      <c r="C37" s="55"/>
      <c r="D37" s="55"/>
      <c r="E37" s="31" t="s">
        <v>25</v>
      </c>
      <c r="F37" s="31" t="s">
        <v>34</v>
      </c>
      <c r="G37" s="31" t="s">
        <v>133</v>
      </c>
      <c r="H37" s="32">
        <v>27423.499882354459</v>
      </c>
      <c r="I37" s="32">
        <v>544318.31532599207</v>
      </c>
    </row>
    <row r="38" spans="1:9">
      <c r="A38" s="55"/>
      <c r="B38" s="55"/>
      <c r="C38" s="55"/>
      <c r="D38" s="55"/>
      <c r="E38" s="31" t="s">
        <v>126</v>
      </c>
      <c r="F38" s="31" t="s">
        <v>34</v>
      </c>
      <c r="G38" s="31" t="s">
        <v>133</v>
      </c>
      <c r="H38" s="32">
        <v>35533.292715461219</v>
      </c>
      <c r="I38" s="32">
        <v>378073.99098538427</v>
      </c>
    </row>
    <row r="39" spans="1:9">
      <c r="A39" s="55"/>
      <c r="B39" s="55"/>
      <c r="C39" s="55"/>
      <c r="D39" s="55"/>
      <c r="E39" s="31" t="s">
        <v>127</v>
      </c>
      <c r="F39" s="31" t="s">
        <v>34</v>
      </c>
      <c r="G39" s="31" t="s">
        <v>133</v>
      </c>
      <c r="H39" s="32">
        <v>38449.314515832295</v>
      </c>
      <c r="I39" s="32">
        <v>667405.99922401295</v>
      </c>
    </row>
    <row r="40" spans="1:9">
      <c r="A40" s="55"/>
      <c r="B40" s="55"/>
      <c r="C40" s="55"/>
      <c r="D40" s="55"/>
      <c r="E40" s="31" t="s">
        <v>128</v>
      </c>
      <c r="F40" s="31" t="s">
        <v>34</v>
      </c>
      <c r="G40" s="31" t="s">
        <v>133</v>
      </c>
      <c r="H40" s="32">
        <v>42503.812730099358</v>
      </c>
      <c r="I40" s="32">
        <v>435838.27939024736</v>
      </c>
    </row>
    <row r="41" spans="1:9">
      <c r="A41" s="55"/>
      <c r="B41" s="55"/>
      <c r="C41" s="55"/>
      <c r="D41" s="55"/>
      <c r="E41" s="31" t="s">
        <v>129</v>
      </c>
      <c r="F41" s="31" t="s">
        <v>34</v>
      </c>
      <c r="G41" s="31" t="s">
        <v>133</v>
      </c>
      <c r="H41" s="32">
        <v>32185.790320447235</v>
      </c>
      <c r="I41" s="32">
        <v>433530.69464738155</v>
      </c>
    </row>
    <row r="42" spans="1:9">
      <c r="A42" s="55"/>
      <c r="B42" s="55"/>
      <c r="C42" s="55"/>
      <c r="D42" s="55"/>
      <c r="E42" s="31" t="s">
        <v>130</v>
      </c>
      <c r="F42" s="31" t="s">
        <v>34</v>
      </c>
      <c r="G42" s="31" t="s">
        <v>133</v>
      </c>
      <c r="H42" s="32">
        <v>27045.4208207228</v>
      </c>
      <c r="I42" s="32">
        <v>550834.91810076998</v>
      </c>
    </row>
    <row r="43" spans="1:9">
      <c r="A43" s="55"/>
      <c r="B43" s="55"/>
      <c r="C43" s="55"/>
      <c r="D43" s="55"/>
      <c r="E43" s="31" t="s">
        <v>131</v>
      </c>
      <c r="F43" s="31" t="s">
        <v>34</v>
      </c>
      <c r="G43" s="31" t="s">
        <v>133</v>
      </c>
      <c r="H43" s="32">
        <v>26218.287037480855</v>
      </c>
      <c r="I43" s="32">
        <v>436222.00234966632</v>
      </c>
    </row>
    <row r="44" spans="1:9">
      <c r="A44" s="55"/>
      <c r="B44" s="55"/>
      <c r="C44" s="55"/>
      <c r="D44" s="55"/>
      <c r="E44" s="31" t="s">
        <v>119</v>
      </c>
      <c r="F44" s="31" t="s">
        <v>34</v>
      </c>
      <c r="G44" s="31" t="s">
        <v>133</v>
      </c>
      <c r="H44" s="32">
        <v>29893.869269980838</v>
      </c>
      <c r="I44" s="32">
        <v>393457.78963404236</v>
      </c>
    </row>
    <row r="45" spans="1:9">
      <c r="A45" s="55"/>
      <c r="B45" s="55"/>
      <c r="C45" s="55"/>
      <c r="D45" s="54" t="s">
        <v>132</v>
      </c>
      <c r="E45" s="31" t="s">
        <v>122</v>
      </c>
      <c r="F45" s="31" t="s">
        <v>34</v>
      </c>
      <c r="G45" s="31" t="s">
        <v>133</v>
      </c>
      <c r="H45" s="32">
        <v>4867.3197951695529</v>
      </c>
      <c r="I45" s="32">
        <v>170495.09039242531</v>
      </c>
    </row>
    <row r="46" spans="1:9">
      <c r="A46" s="55"/>
      <c r="B46" s="55"/>
      <c r="C46" s="55"/>
      <c r="D46" s="55"/>
      <c r="E46" s="31" t="s">
        <v>123</v>
      </c>
      <c r="F46" s="31" t="s">
        <v>34</v>
      </c>
      <c r="G46" s="31" t="s">
        <v>133</v>
      </c>
      <c r="H46" s="32">
        <v>4569.3312807672382</v>
      </c>
      <c r="I46" s="32">
        <v>59616.07059460842</v>
      </c>
    </row>
    <row r="47" spans="1:9">
      <c r="A47" s="55"/>
      <c r="B47" s="55"/>
      <c r="C47" s="55"/>
      <c r="D47" s="55"/>
      <c r="E47" s="31" t="s">
        <v>124</v>
      </c>
      <c r="F47" s="31" t="s">
        <v>34</v>
      </c>
      <c r="G47" s="31" t="s">
        <v>133</v>
      </c>
      <c r="H47" s="32">
        <v>28869.731413140235</v>
      </c>
      <c r="I47" s="32">
        <v>291707.19628539751</v>
      </c>
    </row>
    <row r="48" spans="1:9">
      <c r="A48" s="55"/>
      <c r="B48" s="55"/>
      <c r="C48" s="55"/>
      <c r="D48" s="55"/>
      <c r="E48" s="31" t="s">
        <v>125</v>
      </c>
      <c r="F48" s="31" t="s">
        <v>34</v>
      </c>
      <c r="G48" s="31" t="s">
        <v>133</v>
      </c>
      <c r="H48" s="32">
        <v>28258.61404704216</v>
      </c>
      <c r="I48" s="32">
        <v>375911.47355028288</v>
      </c>
    </row>
    <row r="49" spans="1:9">
      <c r="A49" s="55"/>
      <c r="B49" s="55"/>
      <c r="C49" s="55"/>
      <c r="D49" s="55"/>
      <c r="E49" s="31" t="s">
        <v>25</v>
      </c>
      <c r="F49" s="31" t="s">
        <v>34</v>
      </c>
      <c r="G49" s="31" t="s">
        <v>133</v>
      </c>
      <c r="H49" s="32">
        <v>38786.127492100859</v>
      </c>
      <c r="I49" s="32">
        <v>447679.4392312743</v>
      </c>
    </row>
    <row r="50" spans="1:9">
      <c r="A50" s="55"/>
      <c r="B50" s="55"/>
      <c r="C50" s="55"/>
      <c r="D50" s="55"/>
      <c r="E50" s="31" t="s">
        <v>126</v>
      </c>
      <c r="F50" s="31" t="s">
        <v>34</v>
      </c>
      <c r="G50" s="31" t="s">
        <v>133</v>
      </c>
      <c r="H50" s="32">
        <v>46790.244915708252</v>
      </c>
      <c r="I50" s="32">
        <v>551662.20393113128</v>
      </c>
    </row>
    <row r="51" spans="1:9">
      <c r="A51" s="55"/>
      <c r="B51" s="54" t="s">
        <v>35</v>
      </c>
      <c r="C51" s="54" t="s">
        <v>19</v>
      </c>
      <c r="D51" s="54" t="s">
        <v>118</v>
      </c>
      <c r="E51" s="31" t="s">
        <v>122</v>
      </c>
      <c r="F51" s="31" t="s">
        <v>36</v>
      </c>
      <c r="G51" s="31" t="s">
        <v>134</v>
      </c>
      <c r="H51" s="32">
        <v>7117.4392181047324</v>
      </c>
      <c r="I51" s="32">
        <v>34077.756920189197</v>
      </c>
    </row>
    <row r="52" spans="1:9">
      <c r="A52" s="55"/>
      <c r="B52" s="55"/>
      <c r="C52" s="55"/>
      <c r="D52" s="55"/>
      <c r="E52" s="31" t="s">
        <v>123</v>
      </c>
      <c r="F52" s="31" t="s">
        <v>36</v>
      </c>
      <c r="G52" s="31" t="s">
        <v>134</v>
      </c>
      <c r="H52" s="32">
        <v>10431.967321788472</v>
      </c>
      <c r="I52" s="32">
        <v>51134.18910458561</v>
      </c>
    </row>
    <row r="53" spans="1:9">
      <c r="A53" s="55"/>
      <c r="B53" s="55"/>
      <c r="C53" s="55"/>
      <c r="D53" s="55"/>
      <c r="E53" s="31" t="s">
        <v>124</v>
      </c>
      <c r="F53" s="31" t="s">
        <v>36</v>
      </c>
      <c r="G53" s="31" t="s">
        <v>134</v>
      </c>
      <c r="H53" s="32">
        <v>14434.869210993964</v>
      </c>
      <c r="I53" s="32">
        <v>44332.617678549323</v>
      </c>
    </row>
    <row r="54" spans="1:9">
      <c r="A54" s="55"/>
      <c r="B54" s="55"/>
      <c r="C54" s="55"/>
      <c r="D54" s="55"/>
      <c r="E54" s="31" t="s">
        <v>125</v>
      </c>
      <c r="F54" s="31" t="s">
        <v>36</v>
      </c>
      <c r="G54" s="31" t="s">
        <v>135</v>
      </c>
      <c r="H54" s="32">
        <v>36788.995168162473</v>
      </c>
      <c r="I54" s="32">
        <v>211859.32893927328</v>
      </c>
    </row>
    <row r="55" spans="1:9">
      <c r="A55" s="55"/>
      <c r="B55" s="55"/>
      <c r="C55" s="55"/>
      <c r="D55" s="55"/>
      <c r="E55" s="31" t="s">
        <v>25</v>
      </c>
      <c r="F55" s="31" t="s">
        <v>36</v>
      </c>
      <c r="G55" s="31" t="s">
        <v>135</v>
      </c>
      <c r="H55" s="32">
        <v>64273.106591886331</v>
      </c>
      <c r="I55" s="32">
        <v>221990.66031930098</v>
      </c>
    </row>
    <row r="56" spans="1:9">
      <c r="A56" s="55"/>
      <c r="B56" s="55"/>
      <c r="C56" s="55"/>
      <c r="D56" s="55"/>
      <c r="E56" s="31" t="s">
        <v>126</v>
      </c>
      <c r="F56" s="31" t="s">
        <v>36</v>
      </c>
      <c r="G56" s="31" t="s">
        <v>135</v>
      </c>
      <c r="H56" s="32">
        <v>40992.451514365879</v>
      </c>
      <c r="I56" s="32">
        <v>203323.16426857133</v>
      </c>
    </row>
    <row r="57" spans="1:9">
      <c r="A57" s="55"/>
      <c r="B57" s="55"/>
      <c r="C57" s="55"/>
      <c r="D57" s="55"/>
      <c r="E57" s="31" t="s">
        <v>127</v>
      </c>
      <c r="F57" s="31" t="s">
        <v>36</v>
      </c>
      <c r="G57" s="31" t="s">
        <v>135</v>
      </c>
      <c r="H57" s="32">
        <v>32334.148937957951</v>
      </c>
      <c r="I57" s="32">
        <v>324017.22636824899</v>
      </c>
    </row>
    <row r="58" spans="1:9">
      <c r="A58" s="55"/>
      <c r="B58" s="55"/>
      <c r="C58" s="55"/>
      <c r="D58" s="55"/>
      <c r="E58" s="31" t="s">
        <v>128</v>
      </c>
      <c r="F58" s="31" t="s">
        <v>36</v>
      </c>
      <c r="G58" s="31" t="s">
        <v>135</v>
      </c>
      <c r="H58" s="32">
        <v>34998.211655919811</v>
      </c>
      <c r="I58" s="32">
        <v>230259.69635774347</v>
      </c>
    </row>
    <row r="59" spans="1:9">
      <c r="A59" s="55"/>
      <c r="B59" s="55"/>
      <c r="C59" s="55"/>
      <c r="D59" s="55"/>
      <c r="E59" s="31" t="s">
        <v>129</v>
      </c>
      <c r="F59" s="31" t="s">
        <v>36</v>
      </c>
      <c r="G59" s="31" t="s">
        <v>135</v>
      </c>
      <c r="H59" s="32">
        <v>33384.434893831683</v>
      </c>
      <c r="I59" s="32">
        <v>280727.83303975943</v>
      </c>
    </row>
    <row r="60" spans="1:9">
      <c r="A60" s="55"/>
      <c r="B60" s="55"/>
      <c r="C60" s="55"/>
      <c r="D60" s="55"/>
      <c r="E60" s="31" t="s">
        <v>130</v>
      </c>
      <c r="F60" s="31" t="s">
        <v>36</v>
      </c>
      <c r="G60" s="31" t="s">
        <v>135</v>
      </c>
      <c r="H60" s="32">
        <v>38503.731934786978</v>
      </c>
      <c r="I60" s="32">
        <v>231380.47420467244</v>
      </c>
    </row>
    <row r="61" spans="1:9">
      <c r="A61" s="55"/>
      <c r="B61" s="55"/>
      <c r="C61" s="55"/>
      <c r="D61" s="55"/>
      <c r="E61" s="31" t="s">
        <v>131</v>
      </c>
      <c r="F61" s="31" t="s">
        <v>36</v>
      </c>
      <c r="G61" s="31" t="s">
        <v>135</v>
      </c>
      <c r="H61" s="32">
        <v>32772.850659629272</v>
      </c>
      <c r="I61" s="32">
        <v>287377.01958269766</v>
      </c>
    </row>
    <row r="62" spans="1:9">
      <c r="A62" s="55"/>
      <c r="B62" s="55"/>
      <c r="C62" s="55"/>
      <c r="D62" s="55"/>
      <c r="E62" s="31" t="s">
        <v>119</v>
      </c>
      <c r="F62" s="31" t="s">
        <v>36</v>
      </c>
      <c r="G62" s="31" t="s">
        <v>135</v>
      </c>
      <c r="H62" s="32">
        <v>40029.774820753279</v>
      </c>
      <c r="I62" s="32">
        <v>321474.83409252169</v>
      </c>
    </row>
    <row r="63" spans="1:9">
      <c r="A63" s="55"/>
      <c r="B63" s="55"/>
      <c r="C63" s="55"/>
      <c r="D63" s="54" t="s">
        <v>121</v>
      </c>
      <c r="E63" s="31" t="s">
        <v>122</v>
      </c>
      <c r="F63" s="31" t="s">
        <v>36</v>
      </c>
      <c r="G63" s="31" t="s">
        <v>135</v>
      </c>
      <c r="H63" s="32">
        <v>28232.109348755377</v>
      </c>
      <c r="I63" s="32">
        <v>222701.01974668109</v>
      </c>
    </row>
    <row r="64" spans="1:9">
      <c r="A64" s="55"/>
      <c r="B64" s="55"/>
      <c r="C64" s="55"/>
      <c r="D64" s="55"/>
      <c r="E64" s="31" t="s">
        <v>123</v>
      </c>
      <c r="F64" s="31" t="s">
        <v>36</v>
      </c>
      <c r="G64" s="31" t="s">
        <v>135</v>
      </c>
      <c r="H64" s="32">
        <v>35871.175233940521</v>
      </c>
      <c r="I64" s="32">
        <v>192200.14908893043</v>
      </c>
    </row>
    <row r="65" spans="1:9">
      <c r="A65" s="55"/>
      <c r="B65" s="55"/>
      <c r="C65" s="55"/>
      <c r="D65" s="55"/>
      <c r="E65" s="31" t="s">
        <v>124</v>
      </c>
      <c r="F65" s="31" t="s">
        <v>36</v>
      </c>
      <c r="G65" s="31" t="s">
        <v>135</v>
      </c>
      <c r="H65" s="32">
        <v>41222.335615022283</v>
      </c>
      <c r="I65" s="32">
        <v>214085.73709116882</v>
      </c>
    </row>
    <row r="66" spans="1:9">
      <c r="A66" s="55"/>
      <c r="B66" s="55"/>
      <c r="C66" s="55"/>
      <c r="D66" s="55"/>
      <c r="E66" s="31" t="s">
        <v>125</v>
      </c>
      <c r="F66" s="31" t="s">
        <v>36</v>
      </c>
      <c r="G66" s="31" t="s">
        <v>135</v>
      </c>
      <c r="H66" s="32">
        <v>46298.558969116348</v>
      </c>
      <c r="I66" s="32">
        <v>332702.72277619713</v>
      </c>
    </row>
    <row r="67" spans="1:9">
      <c r="A67" s="55"/>
      <c r="B67" s="55"/>
      <c r="C67" s="55"/>
      <c r="D67" s="55"/>
      <c r="E67" s="31" t="s">
        <v>25</v>
      </c>
      <c r="F67" s="31" t="s">
        <v>36</v>
      </c>
      <c r="G67" s="31" t="s">
        <v>135</v>
      </c>
      <c r="H67" s="32">
        <v>43882.967489055532</v>
      </c>
      <c r="I67" s="32">
        <v>288954.44466834585</v>
      </c>
    </row>
    <row r="68" spans="1:9">
      <c r="A68" s="55"/>
      <c r="B68" s="55"/>
      <c r="C68" s="55"/>
      <c r="D68" s="55"/>
      <c r="E68" s="31" t="s">
        <v>126</v>
      </c>
      <c r="F68" s="31" t="s">
        <v>36</v>
      </c>
      <c r="G68" s="31" t="s">
        <v>135</v>
      </c>
      <c r="H68" s="32">
        <v>30463.253797836245</v>
      </c>
      <c r="I68" s="32">
        <v>243434.60480827861</v>
      </c>
    </row>
    <row r="69" spans="1:9">
      <c r="A69" s="55"/>
      <c r="B69" s="55"/>
      <c r="C69" s="55"/>
      <c r="D69" s="55"/>
      <c r="E69" s="31" t="s">
        <v>127</v>
      </c>
      <c r="F69" s="31" t="s">
        <v>36</v>
      </c>
      <c r="G69" s="31" t="s">
        <v>135</v>
      </c>
      <c r="H69" s="32">
        <v>35025.1916707622</v>
      </c>
      <c r="I69" s="32">
        <v>344831.81147166208</v>
      </c>
    </row>
    <row r="70" spans="1:9">
      <c r="A70" s="55"/>
      <c r="B70" s="55"/>
      <c r="C70" s="55"/>
      <c r="D70" s="55"/>
      <c r="E70" s="31" t="s">
        <v>128</v>
      </c>
      <c r="F70" s="31" t="s">
        <v>36</v>
      </c>
      <c r="G70" s="31" t="s">
        <v>135</v>
      </c>
      <c r="H70" s="32">
        <v>50338.166647292965</v>
      </c>
      <c r="I70" s="32">
        <v>291005.4215341144</v>
      </c>
    </row>
    <row r="71" spans="1:9">
      <c r="A71" s="55"/>
      <c r="B71" s="55"/>
      <c r="C71" s="55"/>
      <c r="D71" s="55"/>
      <c r="E71" s="31" t="s">
        <v>129</v>
      </c>
      <c r="F71" s="31" t="s">
        <v>36</v>
      </c>
      <c r="G71" s="31" t="s">
        <v>135</v>
      </c>
      <c r="H71" s="32">
        <v>42654.926864794965</v>
      </c>
      <c r="I71" s="32">
        <v>299268.79525880114</v>
      </c>
    </row>
    <row r="72" spans="1:9">
      <c r="A72" s="55"/>
      <c r="B72" s="55"/>
      <c r="C72" s="55"/>
      <c r="D72" s="55"/>
      <c r="E72" s="31" t="s">
        <v>130</v>
      </c>
      <c r="F72" s="31" t="s">
        <v>36</v>
      </c>
      <c r="G72" s="31" t="s">
        <v>135</v>
      </c>
      <c r="H72" s="32">
        <v>47093.21526280239</v>
      </c>
      <c r="I72" s="32">
        <v>332681.17071096663</v>
      </c>
    </row>
    <row r="73" spans="1:9">
      <c r="A73" s="55"/>
      <c r="B73" s="55"/>
      <c r="C73" s="55"/>
      <c r="D73" s="55"/>
      <c r="E73" s="31" t="s">
        <v>131</v>
      </c>
      <c r="F73" s="31" t="s">
        <v>36</v>
      </c>
      <c r="G73" s="31" t="s">
        <v>135</v>
      </c>
      <c r="H73" s="32">
        <v>29470.841749518197</v>
      </c>
      <c r="I73" s="32">
        <v>263158.11342310312</v>
      </c>
    </row>
    <row r="74" spans="1:9">
      <c r="A74" s="55"/>
      <c r="B74" s="55"/>
      <c r="C74" s="55"/>
      <c r="D74" s="55"/>
      <c r="E74" s="31" t="s">
        <v>119</v>
      </c>
      <c r="F74" s="31" t="s">
        <v>36</v>
      </c>
      <c r="G74" s="31" t="s">
        <v>135</v>
      </c>
      <c r="H74" s="32">
        <v>36781.07120493205</v>
      </c>
      <c r="I74" s="32">
        <v>339965.06954469933</v>
      </c>
    </row>
    <row r="75" spans="1:9">
      <c r="A75" s="55"/>
      <c r="B75" s="55"/>
      <c r="C75" s="55"/>
      <c r="D75" s="54" t="s">
        <v>132</v>
      </c>
      <c r="E75" s="31" t="s">
        <v>122</v>
      </c>
      <c r="F75" s="31" t="s">
        <v>36</v>
      </c>
      <c r="G75" s="31" t="s">
        <v>135</v>
      </c>
      <c r="H75" s="32">
        <v>33920.852174383705</v>
      </c>
      <c r="I75" s="32">
        <v>291614.91942078382</v>
      </c>
    </row>
    <row r="76" spans="1:9">
      <c r="A76" s="55"/>
      <c r="B76" s="55"/>
      <c r="C76" s="55"/>
      <c r="D76" s="55"/>
      <c r="E76" s="31" t="s">
        <v>123</v>
      </c>
      <c r="F76" s="31" t="s">
        <v>36</v>
      </c>
      <c r="G76" s="31" t="s">
        <v>135</v>
      </c>
      <c r="H76" s="32">
        <v>36959.048252319197</v>
      </c>
      <c r="I76" s="32">
        <v>223956.63435442169</v>
      </c>
    </row>
    <row r="77" spans="1:9">
      <c r="A77" s="55"/>
      <c r="B77" s="55"/>
      <c r="C77" s="55"/>
      <c r="D77" s="55"/>
      <c r="E77" s="31" t="s">
        <v>124</v>
      </c>
      <c r="F77" s="31" t="s">
        <v>36</v>
      </c>
      <c r="G77" s="31" t="s">
        <v>135</v>
      </c>
      <c r="H77" s="32">
        <v>29910.117376157526</v>
      </c>
      <c r="I77" s="32">
        <v>328867.69399739325</v>
      </c>
    </row>
    <row r="78" spans="1:9">
      <c r="A78" s="55"/>
      <c r="B78" s="55"/>
      <c r="C78" s="55"/>
      <c r="D78" s="55"/>
      <c r="E78" s="31" t="s">
        <v>125</v>
      </c>
      <c r="F78" s="31" t="s">
        <v>36</v>
      </c>
      <c r="G78" s="31" t="s">
        <v>135</v>
      </c>
      <c r="H78" s="32">
        <v>41426.498965958424</v>
      </c>
      <c r="I78" s="32">
        <v>352146.23359562992</v>
      </c>
    </row>
    <row r="79" spans="1:9">
      <c r="A79" s="55"/>
      <c r="B79" s="55"/>
      <c r="C79" s="55"/>
      <c r="D79" s="55"/>
      <c r="E79" s="31" t="s">
        <v>25</v>
      </c>
      <c r="F79" s="31" t="s">
        <v>36</v>
      </c>
      <c r="G79" s="31" t="s">
        <v>135</v>
      </c>
      <c r="H79" s="32">
        <v>36752.794766829822</v>
      </c>
      <c r="I79" s="32">
        <v>409432.95586988516</v>
      </c>
    </row>
    <row r="80" spans="1:9">
      <c r="A80" s="55"/>
      <c r="B80" s="55"/>
      <c r="C80" s="55"/>
      <c r="D80" s="55"/>
      <c r="E80" s="31" t="s">
        <v>126</v>
      </c>
      <c r="F80" s="31" t="s">
        <v>36</v>
      </c>
      <c r="G80" s="31" t="s">
        <v>135</v>
      </c>
      <c r="H80" s="32">
        <v>49368.396973048963</v>
      </c>
      <c r="I80" s="32">
        <v>265402.27167439921</v>
      </c>
    </row>
    <row r="81" spans="1:9">
      <c r="A81" s="55"/>
      <c r="B81" s="54" t="s">
        <v>37</v>
      </c>
      <c r="C81" s="54" t="s">
        <v>33</v>
      </c>
      <c r="D81" s="54" t="s">
        <v>121</v>
      </c>
      <c r="E81" s="31" t="s">
        <v>25</v>
      </c>
      <c r="F81" s="31" t="s">
        <v>20</v>
      </c>
      <c r="G81" s="31" t="s">
        <v>136</v>
      </c>
      <c r="H81" s="32">
        <v>2084.8644010599842</v>
      </c>
      <c r="I81" s="32">
        <v>130359.75631220012</v>
      </c>
    </row>
    <row r="82" spans="1:9">
      <c r="A82" s="55"/>
      <c r="B82" s="55"/>
      <c r="C82" s="55"/>
      <c r="D82" s="55"/>
      <c r="E82" s="31" t="s">
        <v>126</v>
      </c>
      <c r="F82" s="31" t="s">
        <v>20</v>
      </c>
      <c r="G82" s="31" t="s">
        <v>136</v>
      </c>
      <c r="H82" s="32">
        <v>6289.9365369966999</v>
      </c>
      <c r="I82" s="32">
        <v>300318.06007690547</v>
      </c>
    </row>
    <row r="83" spans="1:9">
      <c r="A83" s="55"/>
      <c r="B83" s="55"/>
      <c r="C83" s="55"/>
      <c r="D83" s="55"/>
      <c r="E83" s="31" t="s">
        <v>127</v>
      </c>
      <c r="F83" s="31" t="s">
        <v>20</v>
      </c>
      <c r="G83" s="31" t="s">
        <v>136</v>
      </c>
      <c r="H83" s="32">
        <v>10722.087025398372</v>
      </c>
      <c r="I83" s="32">
        <v>343370.21984533366</v>
      </c>
    </row>
    <row r="84" spans="1:9">
      <c r="A84" s="55"/>
      <c r="B84" s="55"/>
      <c r="C84" s="55"/>
      <c r="D84" s="55"/>
      <c r="E84" s="31" t="s">
        <v>128</v>
      </c>
      <c r="F84" s="31" t="s">
        <v>20</v>
      </c>
      <c r="G84" s="31" t="s">
        <v>136</v>
      </c>
      <c r="H84" s="32">
        <v>9509.8647399458023</v>
      </c>
      <c r="I84" s="32">
        <v>208213.08502029936</v>
      </c>
    </row>
    <row r="85" spans="1:9">
      <c r="A85" s="55"/>
      <c r="B85" s="55"/>
      <c r="C85" s="55"/>
      <c r="D85" s="55"/>
      <c r="E85" s="31" t="s">
        <v>129</v>
      </c>
      <c r="F85" s="31" t="s">
        <v>20</v>
      </c>
      <c r="G85" s="31" t="s">
        <v>136</v>
      </c>
      <c r="H85" s="32">
        <v>10732.710143679677</v>
      </c>
      <c r="I85" s="32">
        <v>222086.50026033507</v>
      </c>
    </row>
    <row r="86" spans="1:9">
      <c r="A86" s="55"/>
      <c r="B86" s="55"/>
      <c r="C86" s="55"/>
      <c r="D86" s="55"/>
      <c r="E86" s="31" t="s">
        <v>130</v>
      </c>
      <c r="F86" s="31" t="s">
        <v>20</v>
      </c>
      <c r="G86" s="31" t="s">
        <v>136</v>
      </c>
      <c r="H86" s="32">
        <v>8202.671586506538</v>
      </c>
      <c r="I86" s="32">
        <v>184686.95801439803</v>
      </c>
    </row>
    <row r="87" spans="1:9">
      <c r="A87" s="55"/>
      <c r="B87" s="55"/>
      <c r="C87" s="55"/>
      <c r="D87" s="55"/>
      <c r="E87" s="31" t="s">
        <v>131</v>
      </c>
      <c r="F87" s="31" t="s">
        <v>20</v>
      </c>
      <c r="G87" s="31" t="s">
        <v>136</v>
      </c>
      <c r="H87" s="32">
        <v>8502.4807360852847</v>
      </c>
      <c r="I87" s="32">
        <v>106601.90264941467</v>
      </c>
    </row>
    <row r="88" spans="1:9">
      <c r="A88" s="55"/>
      <c r="B88" s="55"/>
      <c r="C88" s="55"/>
      <c r="D88" s="55"/>
      <c r="E88" s="31" t="s">
        <v>119</v>
      </c>
      <c r="F88" s="31" t="s">
        <v>20</v>
      </c>
      <c r="G88" s="31" t="s">
        <v>136</v>
      </c>
      <c r="H88" s="32">
        <v>10836.150394484526</v>
      </c>
      <c r="I88" s="32">
        <v>123666.11249663499</v>
      </c>
    </row>
    <row r="89" spans="1:9">
      <c r="A89" s="55"/>
      <c r="B89" s="55"/>
      <c r="C89" s="55"/>
      <c r="D89" s="54" t="s">
        <v>132</v>
      </c>
      <c r="E89" s="31" t="s">
        <v>122</v>
      </c>
      <c r="F89" s="31" t="s">
        <v>20</v>
      </c>
      <c r="G89" s="31" t="s">
        <v>136</v>
      </c>
      <c r="H89" s="32">
        <v>8913.3100622820148</v>
      </c>
      <c r="I89" s="32">
        <v>107861.29538873152</v>
      </c>
    </row>
    <row r="90" spans="1:9">
      <c r="A90" s="55"/>
      <c r="B90" s="55"/>
      <c r="C90" s="55"/>
      <c r="D90" s="55"/>
      <c r="E90" s="31" t="s">
        <v>123</v>
      </c>
      <c r="F90" s="31" t="s">
        <v>20</v>
      </c>
      <c r="G90" s="31" t="s">
        <v>136</v>
      </c>
      <c r="H90" s="32">
        <v>9415.4520096415436</v>
      </c>
      <c r="I90" s="32">
        <v>177808.59448126584</v>
      </c>
    </row>
    <row r="91" spans="1:9">
      <c r="A91" s="55"/>
      <c r="B91" s="55"/>
      <c r="C91" s="55"/>
      <c r="D91" s="55"/>
      <c r="E91" s="31" t="s">
        <v>124</v>
      </c>
      <c r="F91" s="31" t="s">
        <v>20</v>
      </c>
      <c r="G91" s="31" t="s">
        <v>136</v>
      </c>
      <c r="H91" s="32">
        <v>7995.7764784599203</v>
      </c>
      <c r="I91" s="32">
        <v>146306.10561095603</v>
      </c>
    </row>
    <row r="92" spans="1:9">
      <c r="A92" s="55"/>
      <c r="B92" s="55"/>
      <c r="C92" s="55"/>
      <c r="D92" s="55"/>
      <c r="E92" s="31" t="s">
        <v>125</v>
      </c>
      <c r="F92" s="31" t="s">
        <v>20</v>
      </c>
      <c r="G92" s="31" t="s">
        <v>136</v>
      </c>
      <c r="H92" s="32">
        <v>10265.464250630223</v>
      </c>
      <c r="I92" s="32">
        <v>150525.80629736491</v>
      </c>
    </row>
    <row r="93" spans="1:9">
      <c r="A93" s="55"/>
      <c r="B93" s="55"/>
      <c r="C93" s="55"/>
      <c r="D93" s="55"/>
      <c r="E93" s="31" t="s">
        <v>25</v>
      </c>
      <c r="F93" s="31" t="s">
        <v>20</v>
      </c>
      <c r="G93" s="31" t="s">
        <v>136</v>
      </c>
      <c r="H93" s="32">
        <v>10429.569047763163</v>
      </c>
      <c r="I93" s="32">
        <v>275125.95703608944</v>
      </c>
    </row>
    <row r="94" spans="1:9">
      <c r="A94" s="55"/>
      <c r="B94" s="54" t="s">
        <v>32</v>
      </c>
      <c r="C94" s="54" t="s">
        <v>33</v>
      </c>
      <c r="D94" s="54" t="s">
        <v>118</v>
      </c>
      <c r="E94" s="31" t="s">
        <v>122</v>
      </c>
      <c r="F94" s="31" t="s">
        <v>34</v>
      </c>
      <c r="G94" s="31" t="s">
        <v>137</v>
      </c>
      <c r="H94" s="32">
        <v>71579.259369621446</v>
      </c>
      <c r="I94" s="32">
        <v>967947.79659630416</v>
      </c>
    </row>
    <row r="95" spans="1:9">
      <c r="A95" s="55"/>
      <c r="B95" s="55"/>
      <c r="C95" s="55"/>
      <c r="D95" s="55"/>
      <c r="E95" s="31" t="s">
        <v>123</v>
      </c>
      <c r="F95" s="31" t="s">
        <v>34</v>
      </c>
      <c r="G95" s="31" t="s">
        <v>137</v>
      </c>
      <c r="H95" s="32">
        <v>53691.253960426235</v>
      </c>
      <c r="I95" s="32">
        <v>823094.98185366357</v>
      </c>
    </row>
    <row r="96" spans="1:9">
      <c r="A96" s="55"/>
      <c r="B96" s="55"/>
      <c r="C96" s="55"/>
      <c r="D96" s="55"/>
      <c r="E96" s="31" t="s">
        <v>124</v>
      </c>
      <c r="F96" s="31" t="s">
        <v>34</v>
      </c>
      <c r="G96" s="31" t="s">
        <v>137</v>
      </c>
      <c r="H96" s="32">
        <v>69795.661755530615</v>
      </c>
      <c r="I96" s="32">
        <v>869873.72077537957</v>
      </c>
    </row>
    <row r="97" spans="1:9">
      <c r="A97" s="55"/>
      <c r="B97" s="55"/>
      <c r="C97" s="55"/>
      <c r="D97" s="55"/>
      <c r="E97" s="31" t="s">
        <v>125</v>
      </c>
      <c r="F97" s="31" t="s">
        <v>34</v>
      </c>
      <c r="G97" s="31" t="s">
        <v>137</v>
      </c>
      <c r="H97" s="32">
        <v>74656.229494600673</v>
      </c>
      <c r="I97" s="32">
        <v>986406.0800335384</v>
      </c>
    </row>
    <row r="98" spans="1:9">
      <c r="A98" s="55"/>
      <c r="B98" s="55"/>
      <c r="C98" s="55"/>
      <c r="D98" s="55"/>
      <c r="E98" s="31" t="s">
        <v>25</v>
      </c>
      <c r="F98" s="31" t="s">
        <v>34</v>
      </c>
      <c r="G98" s="31" t="s">
        <v>138</v>
      </c>
      <c r="H98" s="32">
        <v>100970.16064484387</v>
      </c>
      <c r="I98" s="32">
        <v>1495983.5467470475</v>
      </c>
    </row>
    <row r="99" spans="1:9">
      <c r="A99" s="55"/>
      <c r="B99" s="55"/>
      <c r="C99" s="55"/>
      <c r="D99" s="55"/>
      <c r="E99" s="31" t="s">
        <v>126</v>
      </c>
      <c r="F99" s="31" t="s">
        <v>34</v>
      </c>
      <c r="G99" s="31" t="s">
        <v>138</v>
      </c>
      <c r="H99" s="32">
        <v>78838.051014227924</v>
      </c>
      <c r="I99" s="32">
        <v>1754555.9764129382</v>
      </c>
    </row>
    <row r="100" spans="1:9">
      <c r="A100" s="55"/>
      <c r="B100" s="55"/>
      <c r="C100" s="55"/>
      <c r="D100" s="55"/>
      <c r="E100" s="31" t="s">
        <v>127</v>
      </c>
      <c r="F100" s="31" t="s">
        <v>34</v>
      </c>
      <c r="G100" s="31" t="s">
        <v>138</v>
      </c>
      <c r="H100" s="32">
        <v>110979.88239887223</v>
      </c>
      <c r="I100" s="32">
        <v>1105825.3132836712</v>
      </c>
    </row>
    <row r="101" spans="1:9">
      <c r="A101" s="55"/>
      <c r="B101" s="55"/>
      <c r="C101" s="55"/>
      <c r="D101" s="55"/>
      <c r="E101" s="31" t="s">
        <v>128</v>
      </c>
      <c r="F101" s="31" t="s">
        <v>34</v>
      </c>
      <c r="G101" s="31" t="s">
        <v>138</v>
      </c>
      <c r="H101" s="32">
        <v>89665.819701375847</v>
      </c>
      <c r="I101" s="32">
        <v>1369418.9933758434</v>
      </c>
    </row>
    <row r="102" spans="1:9">
      <c r="A102" s="55"/>
      <c r="B102" s="55"/>
      <c r="C102" s="55"/>
      <c r="D102" s="55"/>
      <c r="E102" s="31" t="s">
        <v>129</v>
      </c>
      <c r="F102" s="31" t="s">
        <v>34</v>
      </c>
      <c r="G102" s="31" t="s">
        <v>138</v>
      </c>
      <c r="H102" s="32">
        <v>73131.371233784812</v>
      </c>
      <c r="I102" s="32">
        <v>1262200.3641572446</v>
      </c>
    </row>
    <row r="103" spans="1:9">
      <c r="A103" s="55"/>
      <c r="B103" s="55"/>
      <c r="C103" s="55"/>
      <c r="D103" s="55"/>
      <c r="E103" s="31" t="s">
        <v>130</v>
      </c>
      <c r="F103" s="31" t="s">
        <v>34</v>
      </c>
      <c r="G103" s="31" t="s">
        <v>138</v>
      </c>
      <c r="H103" s="32">
        <v>88700.443743736032</v>
      </c>
      <c r="I103" s="32">
        <v>1126832.5153652159</v>
      </c>
    </row>
    <row r="104" spans="1:9">
      <c r="A104" s="55"/>
      <c r="B104" s="55"/>
      <c r="C104" s="55"/>
      <c r="D104" s="55"/>
      <c r="E104" s="31" t="s">
        <v>131</v>
      </c>
      <c r="F104" s="31" t="s">
        <v>34</v>
      </c>
      <c r="G104" s="31" t="s">
        <v>138</v>
      </c>
      <c r="H104" s="32">
        <v>60246.402009743673</v>
      </c>
      <c r="I104" s="32">
        <v>1147117.4994940415</v>
      </c>
    </row>
    <row r="105" spans="1:9">
      <c r="A105" s="55"/>
      <c r="B105" s="55"/>
      <c r="C105" s="55"/>
      <c r="D105" s="55"/>
      <c r="E105" s="31" t="s">
        <v>119</v>
      </c>
      <c r="F105" s="31" t="s">
        <v>34</v>
      </c>
      <c r="G105" s="31" t="s">
        <v>138</v>
      </c>
      <c r="H105" s="32">
        <v>64131.05381268519</v>
      </c>
      <c r="I105" s="32">
        <v>1121211.7119188057</v>
      </c>
    </row>
    <row r="106" spans="1:9">
      <c r="A106" s="55"/>
      <c r="B106" s="55"/>
      <c r="C106" s="55"/>
      <c r="D106" s="54" t="s">
        <v>121</v>
      </c>
      <c r="E106" s="31" t="s">
        <v>122</v>
      </c>
      <c r="F106" s="31" t="s">
        <v>34</v>
      </c>
      <c r="G106" s="31" t="s">
        <v>137</v>
      </c>
      <c r="H106" s="32">
        <v>55836.548309935599</v>
      </c>
      <c r="I106" s="32">
        <v>721952.21843000001</v>
      </c>
    </row>
    <row r="107" spans="1:9">
      <c r="A107" s="55"/>
      <c r="B107" s="55"/>
      <c r="C107" s="55"/>
      <c r="D107" s="55"/>
      <c r="E107" s="31" t="s">
        <v>123</v>
      </c>
      <c r="F107" s="31" t="s">
        <v>34</v>
      </c>
      <c r="G107" s="31" t="s">
        <v>137</v>
      </c>
      <c r="H107" s="32">
        <v>69066.646107874229</v>
      </c>
      <c r="I107" s="32">
        <v>1088960.5074463175</v>
      </c>
    </row>
    <row r="108" spans="1:9">
      <c r="A108" s="55"/>
      <c r="B108" s="55"/>
      <c r="C108" s="55"/>
      <c r="D108" s="55"/>
      <c r="E108" s="31" t="s">
        <v>124</v>
      </c>
      <c r="F108" s="31" t="s">
        <v>34</v>
      </c>
      <c r="G108" s="31" t="s">
        <v>138</v>
      </c>
      <c r="H108" s="32">
        <v>65680.739574551699</v>
      </c>
      <c r="I108" s="32">
        <v>912306.43697797519</v>
      </c>
    </row>
    <row r="109" spans="1:9">
      <c r="A109" s="55"/>
      <c r="B109" s="55"/>
      <c r="C109" s="55"/>
      <c r="D109" s="55"/>
      <c r="E109" s="31" t="s">
        <v>125</v>
      </c>
      <c r="F109" s="31" t="s">
        <v>34</v>
      </c>
      <c r="G109" s="31" t="s">
        <v>138</v>
      </c>
      <c r="H109" s="32">
        <v>90335.793709062971</v>
      </c>
      <c r="I109" s="32">
        <v>1538455.1704962819</v>
      </c>
    </row>
    <row r="110" spans="1:9">
      <c r="A110" s="55"/>
      <c r="B110" s="55"/>
      <c r="C110" s="55"/>
      <c r="D110" s="55"/>
      <c r="E110" s="31" t="s">
        <v>25</v>
      </c>
      <c r="F110" s="31" t="s">
        <v>34</v>
      </c>
      <c r="G110" s="31" t="s">
        <v>138</v>
      </c>
      <c r="H110" s="32">
        <v>104181.09462870116</v>
      </c>
      <c r="I110" s="32">
        <v>1286455.0908240434</v>
      </c>
    </row>
    <row r="111" spans="1:9">
      <c r="A111" s="55"/>
      <c r="B111" s="55"/>
      <c r="C111" s="55"/>
      <c r="D111" s="55"/>
      <c r="E111" s="31" t="s">
        <v>126</v>
      </c>
      <c r="F111" s="31" t="s">
        <v>34</v>
      </c>
      <c r="G111" s="31" t="s">
        <v>138</v>
      </c>
      <c r="H111" s="32">
        <v>111466.695254759</v>
      </c>
      <c r="I111" s="32">
        <v>1725119.4585000335</v>
      </c>
    </row>
    <row r="112" spans="1:9">
      <c r="A112" s="55"/>
      <c r="B112" s="55"/>
      <c r="C112" s="55"/>
      <c r="D112" s="55"/>
      <c r="E112" s="31" t="s">
        <v>127</v>
      </c>
      <c r="F112" s="31" t="s">
        <v>34</v>
      </c>
      <c r="G112" s="31" t="s">
        <v>138</v>
      </c>
      <c r="H112" s="32">
        <v>115409.83548922894</v>
      </c>
      <c r="I112" s="32">
        <v>1540947.9265992923</v>
      </c>
    </row>
    <row r="113" spans="1:9">
      <c r="A113" s="55"/>
      <c r="B113" s="55"/>
      <c r="C113" s="55"/>
      <c r="D113" s="55"/>
      <c r="E113" s="31" t="s">
        <v>128</v>
      </c>
      <c r="F113" s="31" t="s">
        <v>34</v>
      </c>
      <c r="G113" s="31" t="s">
        <v>138</v>
      </c>
      <c r="H113" s="32">
        <v>124801.6715338439</v>
      </c>
      <c r="I113" s="32">
        <v>1111557.9078258446</v>
      </c>
    </row>
    <row r="114" spans="1:9">
      <c r="A114" s="55"/>
      <c r="B114" s="55"/>
      <c r="C114" s="55"/>
      <c r="D114" s="55"/>
      <c r="E114" s="31" t="s">
        <v>129</v>
      </c>
      <c r="F114" s="31" t="s">
        <v>34</v>
      </c>
      <c r="G114" s="31" t="s">
        <v>138</v>
      </c>
      <c r="H114" s="32">
        <v>82129.025741515012</v>
      </c>
      <c r="I114" s="32">
        <v>1873403.0953085143</v>
      </c>
    </row>
    <row r="115" spans="1:9">
      <c r="A115" s="55"/>
      <c r="B115" s="55"/>
      <c r="C115" s="55"/>
      <c r="D115" s="55"/>
      <c r="E115" s="31" t="s">
        <v>130</v>
      </c>
      <c r="F115" s="31" t="s">
        <v>34</v>
      </c>
      <c r="G115" s="31" t="s">
        <v>138</v>
      </c>
      <c r="H115" s="32">
        <v>81671.69712550909</v>
      </c>
      <c r="I115" s="32">
        <v>1419405.7511068701</v>
      </c>
    </row>
    <row r="116" spans="1:9">
      <c r="A116" s="55"/>
      <c r="B116" s="55"/>
      <c r="C116" s="55"/>
      <c r="D116" s="55"/>
      <c r="E116" s="31" t="s">
        <v>131</v>
      </c>
      <c r="F116" s="31" t="s">
        <v>34</v>
      </c>
      <c r="G116" s="31" t="s">
        <v>138</v>
      </c>
      <c r="H116" s="32">
        <v>89112.886323797371</v>
      </c>
      <c r="I116" s="32">
        <v>962845.73934535624</v>
      </c>
    </row>
    <row r="117" spans="1:9">
      <c r="A117" s="55"/>
      <c r="B117" s="55"/>
      <c r="C117" s="55"/>
      <c r="D117" s="55"/>
      <c r="E117" s="31" t="s">
        <v>119</v>
      </c>
      <c r="F117" s="31" t="s">
        <v>34</v>
      </c>
      <c r="G117" s="31" t="s">
        <v>138</v>
      </c>
      <c r="H117" s="32">
        <v>89598.548654938975</v>
      </c>
      <c r="I117" s="32">
        <v>999360.72987712186</v>
      </c>
    </row>
    <row r="118" spans="1:9">
      <c r="A118" s="55"/>
      <c r="B118" s="55"/>
      <c r="C118" s="55"/>
      <c r="D118" s="54" t="s">
        <v>132</v>
      </c>
      <c r="E118" s="31" t="s">
        <v>122</v>
      </c>
      <c r="F118" s="31" t="s">
        <v>34</v>
      </c>
      <c r="G118" s="31" t="s">
        <v>138</v>
      </c>
      <c r="H118" s="32">
        <v>56710.110829577992</v>
      </c>
      <c r="I118" s="32">
        <v>1246832.0766792297</v>
      </c>
    </row>
    <row r="119" spans="1:9">
      <c r="A119" s="55"/>
      <c r="B119" s="55"/>
      <c r="C119" s="55"/>
      <c r="D119" s="55"/>
      <c r="E119" s="31" t="s">
        <v>123</v>
      </c>
      <c r="F119" s="31" t="s">
        <v>34</v>
      </c>
      <c r="G119" s="31" t="s">
        <v>138</v>
      </c>
      <c r="H119" s="32">
        <v>85065.928374515963</v>
      </c>
      <c r="I119" s="32">
        <v>1130922.0360771015</v>
      </c>
    </row>
    <row r="120" spans="1:9">
      <c r="A120" s="55"/>
      <c r="B120" s="55"/>
      <c r="C120" s="55"/>
      <c r="D120" s="55"/>
      <c r="E120" s="31" t="s">
        <v>124</v>
      </c>
      <c r="F120" s="31" t="s">
        <v>34</v>
      </c>
      <c r="G120" s="31" t="s">
        <v>138</v>
      </c>
      <c r="H120" s="32">
        <v>110920.2422156332</v>
      </c>
      <c r="I120" s="32">
        <v>1217500.9084868629</v>
      </c>
    </row>
    <row r="121" spans="1:9">
      <c r="A121" s="55"/>
      <c r="B121" s="55"/>
      <c r="C121" s="55"/>
      <c r="D121" s="55"/>
      <c r="E121" s="31" t="s">
        <v>125</v>
      </c>
      <c r="F121" s="31" t="s">
        <v>34</v>
      </c>
      <c r="G121" s="31" t="s">
        <v>138</v>
      </c>
      <c r="H121" s="32">
        <v>80014.025079740546</v>
      </c>
      <c r="I121" s="32">
        <v>1072194.886929946</v>
      </c>
    </row>
    <row r="122" spans="1:9">
      <c r="A122" s="55"/>
      <c r="B122" s="55"/>
      <c r="C122" s="55"/>
      <c r="D122" s="55"/>
      <c r="E122" s="31" t="s">
        <v>25</v>
      </c>
      <c r="F122" s="31" t="s">
        <v>34</v>
      </c>
      <c r="G122" s="31" t="s">
        <v>138</v>
      </c>
      <c r="H122" s="32">
        <v>94011.598104168646</v>
      </c>
      <c r="I122" s="32">
        <v>1752521.4956993225</v>
      </c>
    </row>
    <row r="123" spans="1:9">
      <c r="A123" s="55"/>
      <c r="B123" s="55"/>
      <c r="C123" s="55"/>
      <c r="D123" s="55"/>
      <c r="E123" s="31" t="s">
        <v>126</v>
      </c>
      <c r="F123" s="31" t="s">
        <v>34</v>
      </c>
      <c r="G123" s="31" t="s">
        <v>138</v>
      </c>
      <c r="H123" s="32">
        <v>118818.58352712292</v>
      </c>
      <c r="I123" s="32">
        <v>1731529.4328662897</v>
      </c>
    </row>
  </sheetData>
  <mergeCells count="24">
    <mergeCell ref="B81:B93"/>
    <mergeCell ref="C81:C93"/>
    <mergeCell ref="D81:D88"/>
    <mergeCell ref="D89:D93"/>
    <mergeCell ref="A2:A123"/>
    <mergeCell ref="B2:B20"/>
    <mergeCell ref="C2:C20"/>
    <mergeCell ref="D3:D14"/>
    <mergeCell ref="D15:D20"/>
    <mergeCell ref="B21:B50"/>
    <mergeCell ref="C21:C50"/>
    <mergeCell ref="D21:D32"/>
    <mergeCell ref="D33:D44"/>
    <mergeCell ref="D45:D50"/>
    <mergeCell ref="B51:B80"/>
    <mergeCell ref="C51:C80"/>
    <mergeCell ref="D51:D62"/>
    <mergeCell ref="D63:D74"/>
    <mergeCell ref="D75:D80"/>
    <mergeCell ref="B94:B123"/>
    <mergeCell ref="C94:C123"/>
    <mergeCell ref="D94:D105"/>
    <mergeCell ref="D106:D117"/>
    <mergeCell ref="D118:D1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ED66C-7A2D-4531-9066-261E5593F1D4}">
  <dimension ref="B2:N5"/>
  <sheetViews>
    <sheetView workbookViewId="0">
      <selection activeCell="G37" sqref="G37"/>
    </sheetView>
  </sheetViews>
  <sheetFormatPr defaultRowHeight="14.25"/>
  <cols>
    <col min="2" max="2" width="8.875" bestFit="1" customWidth="1"/>
  </cols>
  <sheetData>
    <row r="2" spans="2:14">
      <c r="B2" t="s">
        <v>139</v>
      </c>
      <c r="C2" t="s">
        <v>21</v>
      </c>
      <c r="D2" t="s">
        <v>22</v>
      </c>
      <c r="E2" t="s">
        <v>23</v>
      </c>
      <c r="F2" t="s">
        <v>24</v>
      </c>
      <c r="G2" t="s">
        <v>25</v>
      </c>
      <c r="H2" t="s">
        <v>26</v>
      </c>
      <c r="I2" t="s">
        <v>27</v>
      </c>
      <c r="J2" t="s">
        <v>28</v>
      </c>
      <c r="K2" t="s">
        <v>29</v>
      </c>
      <c r="L2" t="s">
        <v>30</v>
      </c>
      <c r="M2" t="s">
        <v>31</v>
      </c>
      <c r="N2" t="s">
        <v>16</v>
      </c>
    </row>
    <row r="3" spans="2:14">
      <c r="B3" t="s">
        <v>140</v>
      </c>
      <c r="C3">
        <v>895441</v>
      </c>
      <c r="D3">
        <v>948465</v>
      </c>
      <c r="E3">
        <v>1117311</v>
      </c>
      <c r="F3">
        <v>1284638</v>
      </c>
      <c r="G3">
        <v>1495297</v>
      </c>
      <c r="H3">
        <v>1561422</v>
      </c>
      <c r="I3">
        <v>1628915</v>
      </c>
      <c r="J3">
        <v>1618153</v>
      </c>
      <c r="K3">
        <v>1529718</v>
      </c>
      <c r="L3">
        <v>1468168</v>
      </c>
      <c r="M3">
        <v>1091165</v>
      </c>
      <c r="N3">
        <v>1153914</v>
      </c>
    </row>
    <row r="4" spans="2:14">
      <c r="B4" t="s">
        <v>141</v>
      </c>
      <c r="C4">
        <v>950595</v>
      </c>
      <c r="D4">
        <v>1016868</v>
      </c>
      <c r="E4">
        <v>1191178</v>
      </c>
      <c r="F4">
        <v>1393786</v>
      </c>
      <c r="G4">
        <v>1576429</v>
      </c>
      <c r="H4">
        <v>1643722</v>
      </c>
      <c r="I4">
        <v>1783169</v>
      </c>
      <c r="J4">
        <v>1770479</v>
      </c>
      <c r="K4">
        <v>1628996</v>
      </c>
      <c r="L4">
        <v>1609903</v>
      </c>
      <c r="M4">
        <v>1193998</v>
      </c>
      <c r="N4">
        <v>1222096</v>
      </c>
    </row>
    <row r="5" spans="2:14">
      <c r="B5" t="s">
        <v>142</v>
      </c>
      <c r="C5">
        <v>1017320</v>
      </c>
      <c r="D5">
        <v>1071937</v>
      </c>
      <c r="E5">
        <v>1274309</v>
      </c>
      <c r="F5">
        <v>1465123</v>
      </c>
      <c r="G5">
        <v>1655765</v>
      </c>
      <c r="H5">
        <v>1709032</v>
      </c>
      <c r="I5">
        <v>0</v>
      </c>
      <c r="J5">
        <v>0</v>
      </c>
      <c r="K5">
        <v>0</v>
      </c>
      <c r="L5">
        <v>0</v>
      </c>
      <c r="M5">
        <v>0</v>
      </c>
      <c r="N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5"/>
  <sheetViews>
    <sheetView topLeftCell="A3" workbookViewId="0">
      <selection activeCell="K3" sqref="K1:K1048576"/>
    </sheetView>
  </sheetViews>
  <sheetFormatPr defaultRowHeight="14.25"/>
  <cols>
    <col min="1" max="1" width="13" style="14" customWidth="1"/>
    <col min="2" max="4" width="12" style="14" customWidth="1"/>
    <col min="5" max="8" width="20" style="14" customWidth="1"/>
    <col min="9" max="11" width="18" style="14" customWidth="1"/>
    <col min="12" max="15" width="22" style="14" customWidth="1"/>
    <col min="16" max="16384" width="9" style="14"/>
  </cols>
  <sheetData>
    <row r="1" spans="1:15" ht="27.95" customHeight="1">
      <c r="A1" s="34" t="s">
        <v>0</v>
      </c>
      <c r="B1" s="34"/>
      <c r="C1" s="34"/>
      <c r="D1" s="34"/>
      <c r="E1" s="34"/>
      <c r="F1" s="34"/>
      <c r="G1" s="34"/>
      <c r="H1" s="34"/>
      <c r="I1" s="34"/>
      <c r="J1" s="34"/>
      <c r="K1" s="34"/>
      <c r="L1" s="34"/>
      <c r="M1" s="34"/>
      <c r="N1" s="34"/>
      <c r="O1" s="34"/>
    </row>
    <row r="3" spans="1:15" s="22" customFormat="1" ht="33.75" customHeight="1">
      <c r="A3" s="11" t="s">
        <v>1</v>
      </c>
      <c r="B3" s="12" t="s">
        <v>2</v>
      </c>
      <c r="C3" s="12" t="s">
        <v>3</v>
      </c>
      <c r="D3" s="12" t="s">
        <v>4</v>
      </c>
      <c r="E3" s="12" t="s">
        <v>5</v>
      </c>
      <c r="F3" s="12" t="s">
        <v>6</v>
      </c>
      <c r="G3" s="12" t="s">
        <v>7</v>
      </c>
      <c r="H3" s="12" t="s">
        <v>8</v>
      </c>
      <c r="I3" s="12" t="s">
        <v>9</v>
      </c>
      <c r="J3" s="12" t="s">
        <v>10</v>
      </c>
      <c r="K3" s="12" t="s">
        <v>11</v>
      </c>
      <c r="L3" s="12" t="s">
        <v>12</v>
      </c>
      <c r="M3" s="12" t="s">
        <v>13</v>
      </c>
      <c r="N3" s="12" t="s">
        <v>14</v>
      </c>
      <c r="O3" s="13" t="s">
        <v>15</v>
      </c>
    </row>
    <row r="4" spans="1:15">
      <c r="A4" s="23">
        <v>45627</v>
      </c>
      <c r="B4" s="18">
        <v>2024</v>
      </c>
      <c r="C4" s="18">
        <v>12</v>
      </c>
      <c r="D4" s="14" t="s">
        <v>16</v>
      </c>
      <c r="E4" s="14" t="s">
        <v>17</v>
      </c>
      <c r="F4" s="14" t="s">
        <v>18</v>
      </c>
      <c r="G4" s="14" t="s">
        <v>19</v>
      </c>
      <c r="H4" s="14" t="s">
        <v>20</v>
      </c>
      <c r="I4" s="18">
        <v>398</v>
      </c>
      <c r="J4" s="17">
        <v>6930.596085394287</v>
      </c>
      <c r="K4" s="16">
        <v>144744.87966491349</v>
      </c>
      <c r="L4" s="15">
        <f t="shared" ref="L4:L35" si="0">IFERROR(K4/J4,"")</f>
        <v>20.884910602415932</v>
      </c>
      <c r="M4" s="15">
        <f t="shared" ref="M4:M35" si="1">IFERROR(K4/I4,"")</f>
        <v>363.68060217314945</v>
      </c>
      <c r="N4" s="24" t="str">
        <f t="shared" ref="N4:N35" si="2">IF(AND(A4&gt;=DATE(2025,6,1),A4&lt;=DATE(2026,5,1)),"Yes","No")</f>
        <v>No</v>
      </c>
      <c r="O4" s="24" t="str">
        <f t="shared" ref="O4:O35" si="3">IF(L4="","Check",IF(L4&gt;50,"Review","Normal"))</f>
        <v>Normal</v>
      </c>
    </row>
    <row r="5" spans="1:15">
      <c r="A5" s="23">
        <v>45658</v>
      </c>
      <c r="B5" s="18">
        <v>2025</v>
      </c>
      <c r="C5" s="18">
        <v>1</v>
      </c>
      <c r="D5" s="14" t="s">
        <v>21</v>
      </c>
      <c r="E5" s="14" t="s">
        <v>17</v>
      </c>
      <c r="F5" s="14" t="s">
        <v>18</v>
      </c>
      <c r="G5" s="14" t="s">
        <v>19</v>
      </c>
      <c r="H5" s="14" t="s">
        <v>20</v>
      </c>
      <c r="I5" s="18">
        <v>398</v>
      </c>
      <c r="J5" s="17">
        <v>9413.0197907501297</v>
      </c>
      <c r="K5" s="16">
        <v>228691.0582527683</v>
      </c>
      <c r="L5" s="15">
        <f t="shared" si="0"/>
        <v>24.295185109192655</v>
      </c>
      <c r="M5" s="15">
        <f t="shared" si="1"/>
        <v>574.60064887630222</v>
      </c>
      <c r="N5" s="24" t="str">
        <f t="shared" si="2"/>
        <v>No</v>
      </c>
      <c r="O5" s="24" t="str">
        <f t="shared" si="3"/>
        <v>Normal</v>
      </c>
    </row>
    <row r="6" spans="1:15">
      <c r="A6" s="23">
        <v>45689</v>
      </c>
      <c r="B6" s="18">
        <v>2025</v>
      </c>
      <c r="C6" s="18">
        <v>2</v>
      </c>
      <c r="D6" s="14" t="s">
        <v>22</v>
      </c>
      <c r="E6" s="14" t="s">
        <v>17</v>
      </c>
      <c r="F6" s="14" t="s">
        <v>18</v>
      </c>
      <c r="G6" s="14" t="s">
        <v>19</v>
      </c>
      <c r="H6" s="14" t="s">
        <v>20</v>
      </c>
      <c r="I6" s="18">
        <v>398</v>
      </c>
      <c r="J6" s="17">
        <v>17939.19125385191</v>
      </c>
      <c r="K6" s="16">
        <v>199814.14538863179</v>
      </c>
      <c r="L6" s="15">
        <f t="shared" si="0"/>
        <v>11.138414355537217</v>
      </c>
      <c r="M6" s="15">
        <f t="shared" si="1"/>
        <v>502.04559142872307</v>
      </c>
      <c r="N6" s="24" t="str">
        <f t="shared" si="2"/>
        <v>No</v>
      </c>
      <c r="O6" s="24" t="str">
        <f t="shared" si="3"/>
        <v>Normal</v>
      </c>
    </row>
    <row r="7" spans="1:15">
      <c r="A7" s="23">
        <v>45717</v>
      </c>
      <c r="B7" s="18">
        <v>2025</v>
      </c>
      <c r="C7" s="18">
        <v>3</v>
      </c>
      <c r="D7" s="14" t="s">
        <v>23</v>
      </c>
      <c r="E7" s="14" t="s">
        <v>17</v>
      </c>
      <c r="F7" s="14" t="s">
        <v>18</v>
      </c>
      <c r="G7" s="14" t="s">
        <v>19</v>
      </c>
      <c r="H7" s="14" t="s">
        <v>20</v>
      </c>
      <c r="I7" s="18">
        <v>398</v>
      </c>
      <c r="J7" s="17">
        <v>14655.715188778729</v>
      </c>
      <c r="K7" s="16">
        <v>333749.49067761208</v>
      </c>
      <c r="L7" s="15">
        <f t="shared" si="0"/>
        <v>22.772651240735776</v>
      </c>
      <c r="M7" s="15">
        <f t="shared" si="1"/>
        <v>838.56655949148762</v>
      </c>
      <c r="N7" s="24" t="str">
        <f t="shared" si="2"/>
        <v>No</v>
      </c>
      <c r="O7" s="24" t="str">
        <f t="shared" si="3"/>
        <v>Normal</v>
      </c>
    </row>
    <row r="8" spans="1:15">
      <c r="A8" s="23">
        <v>45748</v>
      </c>
      <c r="B8" s="18">
        <v>2025</v>
      </c>
      <c r="C8" s="18">
        <v>4</v>
      </c>
      <c r="D8" s="14" t="s">
        <v>24</v>
      </c>
      <c r="E8" s="14" t="s">
        <v>17</v>
      </c>
      <c r="F8" s="14" t="s">
        <v>18</v>
      </c>
      <c r="G8" s="14" t="s">
        <v>19</v>
      </c>
      <c r="H8" s="14" t="s">
        <v>20</v>
      </c>
      <c r="I8" s="18">
        <v>398</v>
      </c>
      <c r="J8" s="17">
        <v>16830.056649848619</v>
      </c>
      <c r="K8" s="16">
        <v>281233.75490716659</v>
      </c>
      <c r="L8" s="15">
        <f t="shared" si="0"/>
        <v>16.71020845373662</v>
      </c>
      <c r="M8" s="15">
        <f t="shared" si="1"/>
        <v>706.61747464112204</v>
      </c>
      <c r="N8" s="24" t="str">
        <f t="shared" si="2"/>
        <v>No</v>
      </c>
      <c r="O8" s="24" t="str">
        <f t="shared" si="3"/>
        <v>Normal</v>
      </c>
    </row>
    <row r="9" spans="1:15">
      <c r="A9" s="23">
        <v>45778</v>
      </c>
      <c r="B9" s="18">
        <v>2025</v>
      </c>
      <c r="C9" s="18">
        <v>5</v>
      </c>
      <c r="D9" s="14" t="s">
        <v>25</v>
      </c>
      <c r="E9" s="14" t="s">
        <v>17</v>
      </c>
      <c r="F9" s="14" t="s">
        <v>18</v>
      </c>
      <c r="G9" s="14" t="s">
        <v>19</v>
      </c>
      <c r="H9" s="14" t="s">
        <v>20</v>
      </c>
      <c r="I9" s="18">
        <v>398</v>
      </c>
      <c r="J9" s="17">
        <v>26165.642510779438</v>
      </c>
      <c r="K9" s="16">
        <v>379231.62517316849</v>
      </c>
      <c r="L9" s="15">
        <f t="shared" si="0"/>
        <v>14.493495621861253</v>
      </c>
      <c r="M9" s="15">
        <f t="shared" si="1"/>
        <v>952.8432793295691</v>
      </c>
      <c r="N9" s="24" t="str">
        <f t="shared" si="2"/>
        <v>No</v>
      </c>
      <c r="O9" s="24" t="str">
        <f t="shared" si="3"/>
        <v>Normal</v>
      </c>
    </row>
    <row r="10" spans="1:15">
      <c r="A10" s="23">
        <v>45809</v>
      </c>
      <c r="B10" s="18">
        <v>2025</v>
      </c>
      <c r="C10" s="18">
        <v>6</v>
      </c>
      <c r="D10" s="14" t="s">
        <v>26</v>
      </c>
      <c r="E10" s="14" t="s">
        <v>17</v>
      </c>
      <c r="F10" s="14" t="s">
        <v>18</v>
      </c>
      <c r="G10" s="14" t="s">
        <v>19</v>
      </c>
      <c r="H10" s="14" t="s">
        <v>20</v>
      </c>
      <c r="I10" s="18">
        <v>398</v>
      </c>
      <c r="J10" s="17">
        <v>25846.40284562737</v>
      </c>
      <c r="K10" s="16">
        <v>445530.49462727038</v>
      </c>
      <c r="L10" s="15">
        <f t="shared" si="0"/>
        <v>17.237620928849839</v>
      </c>
      <c r="M10" s="15">
        <f t="shared" si="1"/>
        <v>1119.4233533348502</v>
      </c>
      <c r="N10" s="24" t="str">
        <f t="shared" si="2"/>
        <v>Yes</v>
      </c>
      <c r="O10" s="24" t="str">
        <f t="shared" si="3"/>
        <v>Normal</v>
      </c>
    </row>
    <row r="11" spans="1:15">
      <c r="A11" s="23">
        <v>45839</v>
      </c>
      <c r="B11" s="18">
        <v>2025</v>
      </c>
      <c r="C11" s="18">
        <v>7</v>
      </c>
      <c r="D11" s="14" t="s">
        <v>27</v>
      </c>
      <c r="E11" s="14" t="s">
        <v>17</v>
      </c>
      <c r="F11" s="14" t="s">
        <v>18</v>
      </c>
      <c r="G11" s="14" t="s">
        <v>19</v>
      </c>
      <c r="H11" s="14" t="s">
        <v>20</v>
      </c>
      <c r="I11" s="18">
        <v>398</v>
      </c>
      <c r="J11" s="17">
        <v>22873.302889927039</v>
      </c>
      <c r="K11" s="16">
        <v>399964.69850277068</v>
      </c>
      <c r="L11" s="15">
        <f t="shared" si="0"/>
        <v>17.486092866758977</v>
      </c>
      <c r="M11" s="15">
        <f t="shared" si="1"/>
        <v>1004.9364283989213</v>
      </c>
      <c r="N11" s="24" t="str">
        <f t="shared" si="2"/>
        <v>Yes</v>
      </c>
      <c r="O11" s="24" t="str">
        <f t="shared" si="3"/>
        <v>Normal</v>
      </c>
    </row>
    <row r="12" spans="1:15">
      <c r="A12" s="23">
        <v>45870</v>
      </c>
      <c r="B12" s="18">
        <v>2025</v>
      </c>
      <c r="C12" s="18">
        <v>8</v>
      </c>
      <c r="D12" s="14" t="s">
        <v>28</v>
      </c>
      <c r="E12" s="14" t="s">
        <v>17</v>
      </c>
      <c r="F12" s="14" t="s">
        <v>18</v>
      </c>
      <c r="G12" s="14" t="s">
        <v>19</v>
      </c>
      <c r="H12" s="14" t="s">
        <v>20</v>
      </c>
      <c r="I12" s="18">
        <v>398</v>
      </c>
      <c r="J12" s="17">
        <v>17669.770545925581</v>
      </c>
      <c r="K12" s="16">
        <v>388876.26767133392</v>
      </c>
      <c r="L12" s="15">
        <f t="shared" si="0"/>
        <v>22.007997594569993</v>
      </c>
      <c r="M12" s="15">
        <f t="shared" si="1"/>
        <v>977.07604942546209</v>
      </c>
      <c r="N12" s="24" t="str">
        <f t="shared" si="2"/>
        <v>Yes</v>
      </c>
      <c r="O12" s="24" t="str">
        <f t="shared" si="3"/>
        <v>Normal</v>
      </c>
    </row>
    <row r="13" spans="1:15">
      <c r="A13" s="23">
        <v>45901</v>
      </c>
      <c r="B13" s="18">
        <v>2025</v>
      </c>
      <c r="C13" s="18">
        <v>9</v>
      </c>
      <c r="D13" s="14" t="s">
        <v>29</v>
      </c>
      <c r="E13" s="14" t="s">
        <v>17</v>
      </c>
      <c r="F13" s="14" t="s">
        <v>18</v>
      </c>
      <c r="G13" s="14" t="s">
        <v>19</v>
      </c>
      <c r="H13" s="14" t="s">
        <v>20</v>
      </c>
      <c r="I13" s="18">
        <v>398</v>
      </c>
      <c r="J13" s="17">
        <v>24593.18416299592</v>
      </c>
      <c r="K13" s="16">
        <v>399015.51314948208</v>
      </c>
      <c r="L13" s="15">
        <f t="shared" si="0"/>
        <v>16.224638115379133</v>
      </c>
      <c r="M13" s="15">
        <f t="shared" si="1"/>
        <v>1002.5515405765882</v>
      </c>
      <c r="N13" s="24" t="str">
        <f t="shared" si="2"/>
        <v>Yes</v>
      </c>
      <c r="O13" s="24" t="str">
        <f t="shared" si="3"/>
        <v>Normal</v>
      </c>
    </row>
    <row r="14" spans="1:15">
      <c r="A14" s="23">
        <v>45931</v>
      </c>
      <c r="B14" s="18">
        <v>2025</v>
      </c>
      <c r="C14" s="18">
        <v>10</v>
      </c>
      <c r="D14" s="14" t="s">
        <v>30</v>
      </c>
      <c r="E14" s="14" t="s">
        <v>17</v>
      </c>
      <c r="F14" s="14" t="s">
        <v>18</v>
      </c>
      <c r="G14" s="14" t="s">
        <v>19</v>
      </c>
      <c r="H14" s="14" t="s">
        <v>20</v>
      </c>
      <c r="I14" s="18">
        <v>398</v>
      </c>
      <c r="J14" s="17">
        <v>16708.588021351559</v>
      </c>
      <c r="K14" s="16">
        <v>359711.42119533382</v>
      </c>
      <c r="L14" s="15">
        <f t="shared" si="0"/>
        <v>21.528534950749041</v>
      </c>
      <c r="M14" s="15">
        <f t="shared" si="1"/>
        <v>903.79754069179353</v>
      </c>
      <c r="N14" s="24" t="str">
        <f t="shared" si="2"/>
        <v>Yes</v>
      </c>
      <c r="O14" s="24" t="str">
        <f t="shared" si="3"/>
        <v>Normal</v>
      </c>
    </row>
    <row r="15" spans="1:15">
      <c r="A15" s="23">
        <v>45962</v>
      </c>
      <c r="B15" s="18">
        <v>2025</v>
      </c>
      <c r="C15" s="18">
        <v>11</v>
      </c>
      <c r="D15" s="14" t="s">
        <v>31</v>
      </c>
      <c r="E15" s="14" t="s">
        <v>17</v>
      </c>
      <c r="F15" s="14" t="s">
        <v>18</v>
      </c>
      <c r="G15" s="14" t="s">
        <v>19</v>
      </c>
      <c r="H15" s="14" t="s">
        <v>20</v>
      </c>
      <c r="I15" s="18">
        <v>398</v>
      </c>
      <c r="J15" s="17">
        <v>20735.486645233039</v>
      </c>
      <c r="K15" s="16">
        <v>295193.05056616338</v>
      </c>
      <c r="L15" s="15">
        <f t="shared" si="0"/>
        <v>14.236128411966952</v>
      </c>
      <c r="M15" s="15">
        <f t="shared" si="1"/>
        <v>741.69108182453112</v>
      </c>
      <c r="N15" s="24" t="str">
        <f t="shared" si="2"/>
        <v>Yes</v>
      </c>
      <c r="O15" s="24" t="str">
        <f t="shared" si="3"/>
        <v>Normal</v>
      </c>
    </row>
    <row r="16" spans="1:15">
      <c r="A16" s="23">
        <v>45992</v>
      </c>
      <c r="B16" s="18">
        <v>2025</v>
      </c>
      <c r="C16" s="18">
        <v>12</v>
      </c>
      <c r="D16" s="14" t="s">
        <v>16</v>
      </c>
      <c r="E16" s="14" t="s">
        <v>17</v>
      </c>
      <c r="F16" s="14" t="s">
        <v>18</v>
      </c>
      <c r="G16" s="14" t="s">
        <v>19</v>
      </c>
      <c r="H16" s="14" t="s">
        <v>20</v>
      </c>
      <c r="I16" s="18">
        <v>398</v>
      </c>
      <c r="J16" s="17">
        <v>19333.35522999553</v>
      </c>
      <c r="K16" s="16">
        <v>289865.47030739178</v>
      </c>
      <c r="L16" s="15">
        <f t="shared" si="0"/>
        <v>14.993024586734332</v>
      </c>
      <c r="M16" s="15">
        <f t="shared" si="1"/>
        <v>728.30520177736628</v>
      </c>
      <c r="N16" s="24" t="str">
        <f t="shared" si="2"/>
        <v>Yes</v>
      </c>
      <c r="O16" s="24" t="str">
        <f t="shared" si="3"/>
        <v>Normal</v>
      </c>
    </row>
    <row r="17" spans="1:15">
      <c r="A17" s="23">
        <v>46023</v>
      </c>
      <c r="B17" s="18">
        <v>2026</v>
      </c>
      <c r="C17" s="18">
        <v>1</v>
      </c>
      <c r="D17" s="14" t="s">
        <v>21</v>
      </c>
      <c r="E17" s="14" t="s">
        <v>17</v>
      </c>
      <c r="F17" s="14" t="s">
        <v>18</v>
      </c>
      <c r="G17" s="14" t="s">
        <v>19</v>
      </c>
      <c r="H17" s="14" t="s">
        <v>20</v>
      </c>
      <c r="I17" s="18">
        <v>398</v>
      </c>
      <c r="J17" s="17">
        <v>16111.933263869571</v>
      </c>
      <c r="K17" s="16">
        <v>292270.13867830759</v>
      </c>
      <c r="L17" s="15">
        <f t="shared" si="0"/>
        <v>18.139979473084885</v>
      </c>
      <c r="M17" s="15">
        <f t="shared" si="1"/>
        <v>734.34708210630049</v>
      </c>
      <c r="N17" s="24" t="str">
        <f t="shared" si="2"/>
        <v>Yes</v>
      </c>
      <c r="O17" s="24" t="str">
        <f t="shared" si="3"/>
        <v>Normal</v>
      </c>
    </row>
    <row r="18" spans="1:15">
      <c r="A18" s="23">
        <v>46054</v>
      </c>
      <c r="B18" s="18">
        <v>2026</v>
      </c>
      <c r="C18" s="18">
        <v>2</v>
      </c>
      <c r="D18" s="14" t="s">
        <v>22</v>
      </c>
      <c r="E18" s="14" t="s">
        <v>17</v>
      </c>
      <c r="F18" s="14" t="s">
        <v>18</v>
      </c>
      <c r="G18" s="14" t="s">
        <v>19</v>
      </c>
      <c r="H18" s="14" t="s">
        <v>20</v>
      </c>
      <c r="I18" s="18">
        <v>398</v>
      </c>
      <c r="J18" s="17">
        <v>15861.789946731529</v>
      </c>
      <c r="K18" s="16">
        <v>235071.51418333469</v>
      </c>
      <c r="L18" s="15">
        <f t="shared" si="0"/>
        <v>14.819986582395348</v>
      </c>
      <c r="M18" s="15">
        <f t="shared" si="1"/>
        <v>590.63194518425803</v>
      </c>
      <c r="N18" s="24" t="str">
        <f t="shared" si="2"/>
        <v>Yes</v>
      </c>
      <c r="O18" s="24" t="str">
        <f t="shared" si="3"/>
        <v>Normal</v>
      </c>
    </row>
    <row r="19" spans="1:15">
      <c r="A19" s="23">
        <v>46082</v>
      </c>
      <c r="B19" s="18">
        <v>2026</v>
      </c>
      <c r="C19" s="18">
        <v>3</v>
      </c>
      <c r="D19" s="14" t="s">
        <v>23</v>
      </c>
      <c r="E19" s="14" t="s">
        <v>17</v>
      </c>
      <c r="F19" s="14" t="s">
        <v>18</v>
      </c>
      <c r="G19" s="14" t="s">
        <v>19</v>
      </c>
      <c r="H19" s="14" t="s">
        <v>20</v>
      </c>
      <c r="I19" s="18">
        <v>398</v>
      </c>
      <c r="J19" s="17">
        <v>13741.48654472917</v>
      </c>
      <c r="K19" s="16">
        <v>292012.16027860029</v>
      </c>
      <c r="L19" s="15">
        <f t="shared" si="0"/>
        <v>21.25040542943351</v>
      </c>
      <c r="M19" s="15">
        <f t="shared" si="1"/>
        <v>733.69889517236254</v>
      </c>
      <c r="N19" s="24" t="str">
        <f t="shared" si="2"/>
        <v>Yes</v>
      </c>
      <c r="O19" s="24" t="str">
        <f t="shared" si="3"/>
        <v>Normal</v>
      </c>
    </row>
    <row r="20" spans="1:15">
      <c r="A20" s="23">
        <v>46113</v>
      </c>
      <c r="B20" s="18">
        <v>2026</v>
      </c>
      <c r="C20" s="18">
        <v>4</v>
      </c>
      <c r="D20" s="14" t="s">
        <v>24</v>
      </c>
      <c r="E20" s="14" t="s">
        <v>17</v>
      </c>
      <c r="F20" s="14" t="s">
        <v>18</v>
      </c>
      <c r="G20" s="14" t="s">
        <v>19</v>
      </c>
      <c r="H20" s="14" t="s">
        <v>20</v>
      </c>
      <c r="I20" s="18">
        <v>398</v>
      </c>
      <c r="J20" s="17">
        <v>16814.742903811592</v>
      </c>
      <c r="K20" s="16">
        <v>233875.49230031879</v>
      </c>
      <c r="L20" s="15">
        <f t="shared" si="0"/>
        <v>13.908954400206948</v>
      </c>
      <c r="M20" s="15">
        <f t="shared" si="1"/>
        <v>587.62686507617786</v>
      </c>
      <c r="N20" s="24" t="str">
        <f t="shared" si="2"/>
        <v>Yes</v>
      </c>
      <c r="O20" s="24" t="str">
        <f t="shared" si="3"/>
        <v>Normal</v>
      </c>
    </row>
    <row r="21" spans="1:15">
      <c r="A21" s="23">
        <v>46143</v>
      </c>
      <c r="B21" s="18">
        <v>2026</v>
      </c>
      <c r="C21" s="18">
        <v>5</v>
      </c>
      <c r="D21" s="14" t="s">
        <v>25</v>
      </c>
      <c r="E21" s="14" t="s">
        <v>17</v>
      </c>
      <c r="F21" s="14" t="s">
        <v>18</v>
      </c>
      <c r="G21" s="14" t="s">
        <v>19</v>
      </c>
      <c r="H21" s="14" t="s">
        <v>20</v>
      </c>
      <c r="I21" s="18">
        <v>398</v>
      </c>
      <c r="J21" s="17">
        <v>21858.44057933005</v>
      </c>
      <c r="K21" s="16">
        <v>305511.04094866361</v>
      </c>
      <c r="L21" s="15">
        <f t="shared" si="0"/>
        <v>13.976799481183637</v>
      </c>
      <c r="M21" s="15">
        <f t="shared" si="1"/>
        <v>767.6156807755367</v>
      </c>
      <c r="N21" s="24" t="str">
        <f t="shared" si="2"/>
        <v>Yes</v>
      </c>
      <c r="O21" s="24" t="str">
        <f t="shared" si="3"/>
        <v>Normal</v>
      </c>
    </row>
    <row r="22" spans="1:15">
      <c r="A22" s="23">
        <v>46174</v>
      </c>
      <c r="B22" s="18">
        <v>2026</v>
      </c>
      <c r="C22" s="18">
        <v>6</v>
      </c>
      <c r="D22" s="14" t="s">
        <v>26</v>
      </c>
      <c r="E22" s="14" t="s">
        <v>17</v>
      </c>
      <c r="F22" s="14" t="s">
        <v>18</v>
      </c>
      <c r="G22" s="14" t="s">
        <v>19</v>
      </c>
      <c r="H22" s="14" t="s">
        <v>20</v>
      </c>
      <c r="I22" s="18">
        <v>398</v>
      </c>
      <c r="J22" s="17">
        <v>24825.17908460788</v>
      </c>
      <c r="K22" s="16">
        <v>285397.26573736832</v>
      </c>
      <c r="L22" s="15">
        <f t="shared" si="0"/>
        <v>11.496282252977602</v>
      </c>
      <c r="M22" s="15">
        <f t="shared" si="1"/>
        <v>717.0785571290661</v>
      </c>
      <c r="N22" s="24" t="str">
        <f t="shared" si="2"/>
        <v>No</v>
      </c>
      <c r="O22" s="24" t="str">
        <f t="shared" si="3"/>
        <v>Normal</v>
      </c>
    </row>
    <row r="23" spans="1:15">
      <c r="A23" s="23">
        <v>45292</v>
      </c>
      <c r="B23" s="18">
        <v>2024</v>
      </c>
      <c r="C23" s="18">
        <v>1</v>
      </c>
      <c r="D23" s="14" t="s">
        <v>21</v>
      </c>
      <c r="E23" s="14" t="s">
        <v>17</v>
      </c>
      <c r="F23" s="14" t="s">
        <v>32</v>
      </c>
      <c r="G23" s="14" t="s">
        <v>33</v>
      </c>
      <c r="H23" s="14" t="s">
        <v>34</v>
      </c>
      <c r="I23" s="18">
        <v>685</v>
      </c>
      <c r="J23" s="17">
        <v>71579.259369621446</v>
      </c>
      <c r="K23" s="16">
        <v>967947.79659630416</v>
      </c>
      <c r="L23" s="15">
        <f t="shared" si="0"/>
        <v>13.522741156038078</v>
      </c>
      <c r="M23" s="15">
        <f t="shared" si="1"/>
        <v>1413.0624767829258</v>
      </c>
      <c r="N23" s="24" t="str">
        <f t="shared" si="2"/>
        <v>No</v>
      </c>
      <c r="O23" s="24" t="str">
        <f t="shared" si="3"/>
        <v>Normal</v>
      </c>
    </row>
    <row r="24" spans="1:15">
      <c r="A24" s="23">
        <v>45323</v>
      </c>
      <c r="B24" s="18">
        <v>2024</v>
      </c>
      <c r="C24" s="18">
        <v>2</v>
      </c>
      <c r="D24" s="14" t="s">
        <v>22</v>
      </c>
      <c r="E24" s="14" t="s">
        <v>17</v>
      </c>
      <c r="F24" s="14" t="s">
        <v>32</v>
      </c>
      <c r="G24" s="14" t="s">
        <v>33</v>
      </c>
      <c r="H24" s="14" t="s">
        <v>34</v>
      </c>
      <c r="I24" s="18">
        <v>685</v>
      </c>
      <c r="J24" s="17">
        <v>53691.253960426227</v>
      </c>
      <c r="K24" s="16">
        <v>823094.98185366357</v>
      </c>
      <c r="L24" s="15">
        <f t="shared" si="0"/>
        <v>15.330150092235421</v>
      </c>
      <c r="M24" s="15">
        <f t="shared" si="1"/>
        <v>1201.5985136549832</v>
      </c>
      <c r="N24" s="24" t="str">
        <f t="shared" si="2"/>
        <v>No</v>
      </c>
      <c r="O24" s="24" t="str">
        <f t="shared" si="3"/>
        <v>Normal</v>
      </c>
    </row>
    <row r="25" spans="1:15">
      <c r="A25" s="23">
        <v>45352</v>
      </c>
      <c r="B25" s="18">
        <v>2024</v>
      </c>
      <c r="C25" s="18">
        <v>3</v>
      </c>
      <c r="D25" s="14" t="s">
        <v>23</v>
      </c>
      <c r="E25" s="14" t="s">
        <v>17</v>
      </c>
      <c r="F25" s="14" t="s">
        <v>32</v>
      </c>
      <c r="G25" s="14" t="s">
        <v>33</v>
      </c>
      <c r="H25" s="14" t="s">
        <v>34</v>
      </c>
      <c r="I25" s="18">
        <v>685</v>
      </c>
      <c r="J25" s="17">
        <v>69795.661755530615</v>
      </c>
      <c r="K25" s="16">
        <v>869873.72077537957</v>
      </c>
      <c r="L25" s="15">
        <f t="shared" si="0"/>
        <v>12.463148838995723</v>
      </c>
      <c r="M25" s="15">
        <f t="shared" si="1"/>
        <v>1269.8886434677074</v>
      </c>
      <c r="N25" s="24" t="str">
        <f t="shared" si="2"/>
        <v>No</v>
      </c>
      <c r="O25" s="24" t="str">
        <f t="shared" si="3"/>
        <v>Normal</v>
      </c>
    </row>
    <row r="26" spans="1:15">
      <c r="A26" s="23">
        <v>45383</v>
      </c>
      <c r="B26" s="18">
        <v>2024</v>
      </c>
      <c r="C26" s="18">
        <v>4</v>
      </c>
      <c r="D26" s="14" t="s">
        <v>24</v>
      </c>
      <c r="E26" s="14" t="s">
        <v>17</v>
      </c>
      <c r="F26" s="14" t="s">
        <v>32</v>
      </c>
      <c r="G26" s="14" t="s">
        <v>33</v>
      </c>
      <c r="H26" s="14" t="s">
        <v>34</v>
      </c>
      <c r="I26" s="18">
        <v>685</v>
      </c>
      <c r="J26" s="17">
        <v>74656.229494600673</v>
      </c>
      <c r="K26" s="16">
        <v>986406.0800335384</v>
      </c>
      <c r="L26" s="15">
        <f t="shared" si="0"/>
        <v>13.212642624884744</v>
      </c>
      <c r="M26" s="15">
        <f t="shared" si="1"/>
        <v>1440.00887596137</v>
      </c>
      <c r="N26" s="24" t="str">
        <f t="shared" si="2"/>
        <v>No</v>
      </c>
      <c r="O26" s="24" t="str">
        <f t="shared" si="3"/>
        <v>Normal</v>
      </c>
    </row>
    <row r="27" spans="1:15">
      <c r="A27" s="23">
        <v>45413</v>
      </c>
      <c r="B27" s="18">
        <v>2024</v>
      </c>
      <c r="C27" s="18">
        <v>5</v>
      </c>
      <c r="D27" s="14" t="s">
        <v>25</v>
      </c>
      <c r="E27" s="14" t="s">
        <v>17</v>
      </c>
      <c r="F27" s="14" t="s">
        <v>32</v>
      </c>
      <c r="G27" s="14" t="s">
        <v>33</v>
      </c>
      <c r="H27" s="14" t="s">
        <v>34</v>
      </c>
      <c r="I27" s="18">
        <v>817</v>
      </c>
      <c r="J27" s="17">
        <v>100970.1606448439</v>
      </c>
      <c r="K27" s="16">
        <v>1495983.546747047</v>
      </c>
      <c r="L27" s="15">
        <f t="shared" si="0"/>
        <v>14.816095539444309</v>
      </c>
      <c r="M27" s="15">
        <f t="shared" si="1"/>
        <v>1831.0692126646843</v>
      </c>
      <c r="N27" s="24" t="str">
        <f t="shared" si="2"/>
        <v>No</v>
      </c>
      <c r="O27" s="24" t="str">
        <f t="shared" si="3"/>
        <v>Normal</v>
      </c>
    </row>
    <row r="28" spans="1:15">
      <c r="A28" s="23">
        <v>45444</v>
      </c>
      <c r="B28" s="18">
        <v>2024</v>
      </c>
      <c r="C28" s="18">
        <v>6</v>
      </c>
      <c r="D28" s="14" t="s">
        <v>26</v>
      </c>
      <c r="E28" s="14" t="s">
        <v>17</v>
      </c>
      <c r="F28" s="14" t="s">
        <v>32</v>
      </c>
      <c r="G28" s="14" t="s">
        <v>33</v>
      </c>
      <c r="H28" s="14" t="s">
        <v>34</v>
      </c>
      <c r="I28" s="18">
        <v>817</v>
      </c>
      <c r="J28" s="17">
        <v>78838.051014227924</v>
      </c>
      <c r="K28" s="16">
        <v>1754555.976412938</v>
      </c>
      <c r="L28" s="15">
        <f t="shared" si="0"/>
        <v>22.255192179932159</v>
      </c>
      <c r="M28" s="15">
        <f t="shared" si="1"/>
        <v>2147.5593346547589</v>
      </c>
      <c r="N28" s="24" t="str">
        <f t="shared" si="2"/>
        <v>No</v>
      </c>
      <c r="O28" s="24" t="str">
        <f t="shared" si="3"/>
        <v>Normal</v>
      </c>
    </row>
    <row r="29" spans="1:15">
      <c r="A29" s="23">
        <v>45474</v>
      </c>
      <c r="B29" s="18">
        <v>2024</v>
      </c>
      <c r="C29" s="18">
        <v>7</v>
      </c>
      <c r="D29" s="14" t="s">
        <v>27</v>
      </c>
      <c r="E29" s="14" t="s">
        <v>17</v>
      </c>
      <c r="F29" s="14" t="s">
        <v>32</v>
      </c>
      <c r="G29" s="14" t="s">
        <v>33</v>
      </c>
      <c r="H29" s="14" t="s">
        <v>34</v>
      </c>
      <c r="I29" s="18">
        <v>817</v>
      </c>
      <c r="J29" s="17">
        <v>110979.8823988722</v>
      </c>
      <c r="K29" s="16">
        <v>1105825.3132836709</v>
      </c>
      <c r="L29" s="15">
        <f t="shared" si="0"/>
        <v>9.9641961171776163</v>
      </c>
      <c r="M29" s="15">
        <f t="shared" si="1"/>
        <v>1353.5193553043707</v>
      </c>
      <c r="N29" s="24" t="str">
        <f t="shared" si="2"/>
        <v>No</v>
      </c>
      <c r="O29" s="24" t="str">
        <f t="shared" si="3"/>
        <v>Normal</v>
      </c>
    </row>
    <row r="30" spans="1:15">
      <c r="A30" s="23">
        <v>45505</v>
      </c>
      <c r="B30" s="18">
        <v>2024</v>
      </c>
      <c r="C30" s="18">
        <v>8</v>
      </c>
      <c r="D30" s="14" t="s">
        <v>28</v>
      </c>
      <c r="E30" s="14" t="s">
        <v>17</v>
      </c>
      <c r="F30" s="14" t="s">
        <v>32</v>
      </c>
      <c r="G30" s="14" t="s">
        <v>33</v>
      </c>
      <c r="H30" s="14" t="s">
        <v>34</v>
      </c>
      <c r="I30" s="18">
        <v>817</v>
      </c>
      <c r="J30" s="17">
        <v>89665.819701375847</v>
      </c>
      <c r="K30" s="16">
        <v>1369418.9933758429</v>
      </c>
      <c r="L30" s="15">
        <f t="shared" si="0"/>
        <v>15.272475040506771</v>
      </c>
      <c r="M30" s="15">
        <f t="shared" si="1"/>
        <v>1676.1554386485225</v>
      </c>
      <c r="N30" s="24" t="str">
        <f t="shared" si="2"/>
        <v>No</v>
      </c>
      <c r="O30" s="24" t="str">
        <f t="shared" si="3"/>
        <v>Normal</v>
      </c>
    </row>
    <row r="31" spans="1:15">
      <c r="A31" s="23">
        <v>45536</v>
      </c>
      <c r="B31" s="18">
        <v>2024</v>
      </c>
      <c r="C31" s="18">
        <v>9</v>
      </c>
      <c r="D31" s="14" t="s">
        <v>29</v>
      </c>
      <c r="E31" s="14" t="s">
        <v>17</v>
      </c>
      <c r="F31" s="14" t="s">
        <v>32</v>
      </c>
      <c r="G31" s="14" t="s">
        <v>33</v>
      </c>
      <c r="H31" s="14" t="s">
        <v>34</v>
      </c>
      <c r="I31" s="18">
        <v>817</v>
      </c>
      <c r="J31" s="17">
        <v>73131.371233784812</v>
      </c>
      <c r="K31" s="16">
        <v>1262200.364157245</v>
      </c>
      <c r="L31" s="15">
        <f t="shared" si="0"/>
        <v>17.259355907908109</v>
      </c>
      <c r="M31" s="15">
        <f t="shared" si="1"/>
        <v>1544.9208863613769</v>
      </c>
      <c r="N31" s="24" t="str">
        <f t="shared" si="2"/>
        <v>No</v>
      </c>
      <c r="O31" s="24" t="str">
        <f t="shared" si="3"/>
        <v>Normal</v>
      </c>
    </row>
    <row r="32" spans="1:15">
      <c r="A32" s="23">
        <v>45566</v>
      </c>
      <c r="B32" s="18">
        <v>2024</v>
      </c>
      <c r="C32" s="18">
        <v>10</v>
      </c>
      <c r="D32" s="14" t="s">
        <v>30</v>
      </c>
      <c r="E32" s="14" t="s">
        <v>17</v>
      </c>
      <c r="F32" s="14" t="s">
        <v>32</v>
      </c>
      <c r="G32" s="14" t="s">
        <v>33</v>
      </c>
      <c r="H32" s="14" t="s">
        <v>34</v>
      </c>
      <c r="I32" s="18">
        <v>817</v>
      </c>
      <c r="J32" s="17">
        <v>88700.443743736032</v>
      </c>
      <c r="K32" s="16">
        <v>1126832.5153652159</v>
      </c>
      <c r="L32" s="15">
        <f t="shared" si="0"/>
        <v>12.703797949655604</v>
      </c>
      <c r="M32" s="15">
        <f t="shared" si="1"/>
        <v>1379.2319649513047</v>
      </c>
      <c r="N32" s="24" t="str">
        <f t="shared" si="2"/>
        <v>No</v>
      </c>
      <c r="O32" s="24" t="str">
        <f t="shared" si="3"/>
        <v>Normal</v>
      </c>
    </row>
    <row r="33" spans="1:15">
      <c r="A33" s="23">
        <v>45597</v>
      </c>
      <c r="B33" s="18">
        <v>2024</v>
      </c>
      <c r="C33" s="18">
        <v>11</v>
      </c>
      <c r="D33" s="14" t="s">
        <v>31</v>
      </c>
      <c r="E33" s="14" t="s">
        <v>17</v>
      </c>
      <c r="F33" s="14" t="s">
        <v>32</v>
      </c>
      <c r="G33" s="14" t="s">
        <v>33</v>
      </c>
      <c r="H33" s="14" t="s">
        <v>34</v>
      </c>
      <c r="I33" s="18">
        <v>817</v>
      </c>
      <c r="J33" s="17">
        <v>60246.402009743673</v>
      </c>
      <c r="K33" s="16">
        <v>1147117.499494042</v>
      </c>
      <c r="L33" s="15">
        <f t="shared" si="0"/>
        <v>19.040431647827173</v>
      </c>
      <c r="M33" s="15">
        <f t="shared" si="1"/>
        <v>1404.0605868960122</v>
      </c>
      <c r="N33" s="24" t="str">
        <f t="shared" si="2"/>
        <v>No</v>
      </c>
      <c r="O33" s="24" t="str">
        <f t="shared" si="3"/>
        <v>Normal</v>
      </c>
    </row>
    <row r="34" spans="1:15">
      <c r="A34" s="23">
        <v>45627</v>
      </c>
      <c r="B34" s="18">
        <v>2024</v>
      </c>
      <c r="C34" s="18">
        <v>12</v>
      </c>
      <c r="D34" s="14" t="s">
        <v>16</v>
      </c>
      <c r="E34" s="14" t="s">
        <v>17</v>
      </c>
      <c r="F34" s="14" t="s">
        <v>32</v>
      </c>
      <c r="G34" s="14" t="s">
        <v>33</v>
      </c>
      <c r="H34" s="14" t="s">
        <v>34</v>
      </c>
      <c r="I34" s="18">
        <v>817</v>
      </c>
      <c r="J34" s="17">
        <v>64131.05381268519</v>
      </c>
      <c r="K34" s="16">
        <v>1121211.711918806</v>
      </c>
      <c r="L34" s="15">
        <f t="shared" si="0"/>
        <v>17.483132511648034</v>
      </c>
      <c r="M34" s="15">
        <f t="shared" si="1"/>
        <v>1372.3521565713659</v>
      </c>
      <c r="N34" s="24" t="str">
        <f t="shared" si="2"/>
        <v>No</v>
      </c>
      <c r="O34" s="24" t="str">
        <f t="shared" si="3"/>
        <v>Normal</v>
      </c>
    </row>
    <row r="35" spans="1:15">
      <c r="A35" s="23">
        <v>45658</v>
      </c>
      <c r="B35" s="18">
        <v>2025</v>
      </c>
      <c r="C35" s="18">
        <v>1</v>
      </c>
      <c r="D35" s="14" t="s">
        <v>21</v>
      </c>
      <c r="E35" s="14" t="s">
        <v>17</v>
      </c>
      <c r="F35" s="14" t="s">
        <v>32</v>
      </c>
      <c r="G35" s="14" t="s">
        <v>33</v>
      </c>
      <c r="H35" s="14" t="s">
        <v>34</v>
      </c>
      <c r="I35" s="18">
        <v>685</v>
      </c>
      <c r="J35" s="17">
        <v>55836.548309935599</v>
      </c>
      <c r="K35" s="16">
        <v>721952.21843000001</v>
      </c>
      <c r="L35" s="15">
        <f t="shared" si="0"/>
        <v>12.929742978068996</v>
      </c>
      <c r="M35" s="15">
        <f t="shared" si="1"/>
        <v>1053.9448444233576</v>
      </c>
      <c r="N35" s="24" t="str">
        <f t="shared" si="2"/>
        <v>No</v>
      </c>
      <c r="O35" s="24" t="str">
        <f t="shared" si="3"/>
        <v>Normal</v>
      </c>
    </row>
    <row r="36" spans="1:15">
      <c r="A36" s="23">
        <v>45689</v>
      </c>
      <c r="B36" s="18">
        <v>2025</v>
      </c>
      <c r="C36" s="18">
        <v>2</v>
      </c>
      <c r="D36" s="14" t="s">
        <v>22</v>
      </c>
      <c r="E36" s="14" t="s">
        <v>17</v>
      </c>
      <c r="F36" s="14" t="s">
        <v>32</v>
      </c>
      <c r="G36" s="14" t="s">
        <v>33</v>
      </c>
      <c r="H36" s="14" t="s">
        <v>34</v>
      </c>
      <c r="I36" s="18">
        <v>685</v>
      </c>
      <c r="J36" s="17">
        <v>69066.646107874229</v>
      </c>
      <c r="K36" s="16">
        <v>1088960.507446317</v>
      </c>
      <c r="L36" s="15">
        <f t="shared" ref="L36:L67" si="4">IFERROR(K36/J36,"")</f>
        <v>15.766807407232209</v>
      </c>
      <c r="M36" s="15">
        <f t="shared" ref="M36:M67" si="5">IFERROR(K36/I36,"")</f>
        <v>1589.7233685347694</v>
      </c>
      <c r="N36" s="24" t="str">
        <f t="shared" ref="N36:N67" si="6">IF(AND(A36&gt;=DATE(2025,6,1),A36&lt;=DATE(2026,5,1)),"Yes","No")</f>
        <v>No</v>
      </c>
      <c r="O36" s="24" t="str">
        <f t="shared" ref="O36:O67" si="7">IF(L36="","Check",IF(L36&gt;50,"Review","Normal"))</f>
        <v>Normal</v>
      </c>
    </row>
    <row r="37" spans="1:15">
      <c r="A37" s="23">
        <v>45717</v>
      </c>
      <c r="B37" s="18">
        <v>2025</v>
      </c>
      <c r="C37" s="18">
        <v>3</v>
      </c>
      <c r="D37" s="14" t="s">
        <v>23</v>
      </c>
      <c r="E37" s="14" t="s">
        <v>17</v>
      </c>
      <c r="F37" s="14" t="s">
        <v>32</v>
      </c>
      <c r="G37" s="14" t="s">
        <v>33</v>
      </c>
      <c r="H37" s="14" t="s">
        <v>34</v>
      </c>
      <c r="I37" s="18">
        <v>817</v>
      </c>
      <c r="J37" s="17">
        <v>65680.739574551699</v>
      </c>
      <c r="K37" s="16">
        <v>912306.43697797519</v>
      </c>
      <c r="L37" s="15">
        <f t="shared" si="4"/>
        <v>13.890014681434137</v>
      </c>
      <c r="M37" s="15">
        <f t="shared" si="5"/>
        <v>1116.6541456278767</v>
      </c>
      <c r="N37" s="24" t="str">
        <f t="shared" si="6"/>
        <v>No</v>
      </c>
      <c r="O37" s="24" t="str">
        <f t="shared" si="7"/>
        <v>Normal</v>
      </c>
    </row>
    <row r="38" spans="1:15">
      <c r="A38" s="23">
        <v>45748</v>
      </c>
      <c r="B38" s="18">
        <v>2025</v>
      </c>
      <c r="C38" s="18">
        <v>4</v>
      </c>
      <c r="D38" s="14" t="s">
        <v>24</v>
      </c>
      <c r="E38" s="14" t="s">
        <v>17</v>
      </c>
      <c r="F38" s="14" t="s">
        <v>32</v>
      </c>
      <c r="G38" s="14" t="s">
        <v>33</v>
      </c>
      <c r="H38" s="14" t="s">
        <v>34</v>
      </c>
      <c r="I38" s="18">
        <v>817</v>
      </c>
      <c r="J38" s="17">
        <v>90335.793709062971</v>
      </c>
      <c r="K38" s="16">
        <v>1538455.1704962819</v>
      </c>
      <c r="L38" s="15">
        <f t="shared" si="4"/>
        <v>17.03040519521041</v>
      </c>
      <c r="M38" s="15">
        <f t="shared" si="5"/>
        <v>1883.0540642549352</v>
      </c>
      <c r="N38" s="24" t="str">
        <f t="shared" si="6"/>
        <v>No</v>
      </c>
      <c r="O38" s="24" t="str">
        <f t="shared" si="7"/>
        <v>Normal</v>
      </c>
    </row>
    <row r="39" spans="1:15">
      <c r="A39" s="23">
        <v>45778</v>
      </c>
      <c r="B39" s="18">
        <v>2025</v>
      </c>
      <c r="C39" s="18">
        <v>5</v>
      </c>
      <c r="D39" s="14" t="s">
        <v>25</v>
      </c>
      <c r="E39" s="14" t="s">
        <v>17</v>
      </c>
      <c r="F39" s="14" t="s">
        <v>32</v>
      </c>
      <c r="G39" s="14" t="s">
        <v>33</v>
      </c>
      <c r="H39" s="14" t="s">
        <v>34</v>
      </c>
      <c r="I39" s="18">
        <v>817</v>
      </c>
      <c r="J39" s="17">
        <v>104181.0946287012</v>
      </c>
      <c r="K39" s="16">
        <v>1286455.0908240429</v>
      </c>
      <c r="L39" s="15">
        <f t="shared" si="4"/>
        <v>12.348258533939736</v>
      </c>
      <c r="M39" s="15">
        <f t="shared" si="5"/>
        <v>1574.6084343011541</v>
      </c>
      <c r="N39" s="24" t="str">
        <f t="shared" si="6"/>
        <v>No</v>
      </c>
      <c r="O39" s="24" t="str">
        <f t="shared" si="7"/>
        <v>Normal</v>
      </c>
    </row>
    <row r="40" spans="1:15">
      <c r="A40" s="23">
        <v>45809</v>
      </c>
      <c r="B40" s="18">
        <v>2025</v>
      </c>
      <c r="C40" s="18">
        <v>6</v>
      </c>
      <c r="D40" s="14" t="s">
        <v>26</v>
      </c>
      <c r="E40" s="14" t="s">
        <v>17</v>
      </c>
      <c r="F40" s="14" t="s">
        <v>32</v>
      </c>
      <c r="G40" s="14" t="s">
        <v>33</v>
      </c>
      <c r="H40" s="14" t="s">
        <v>34</v>
      </c>
      <c r="I40" s="18">
        <v>817</v>
      </c>
      <c r="J40" s="17">
        <v>111466.695254759</v>
      </c>
      <c r="K40" s="16">
        <v>1725119.458500033</v>
      </c>
      <c r="L40" s="15">
        <f t="shared" si="4"/>
        <v>15.476546196666579</v>
      </c>
      <c r="M40" s="15">
        <f t="shared" si="5"/>
        <v>2111.5293249694405</v>
      </c>
      <c r="N40" s="24" t="str">
        <f t="shared" si="6"/>
        <v>Yes</v>
      </c>
      <c r="O40" s="24" t="str">
        <f t="shared" si="7"/>
        <v>Normal</v>
      </c>
    </row>
    <row r="41" spans="1:15">
      <c r="A41" s="23">
        <v>45839</v>
      </c>
      <c r="B41" s="18">
        <v>2025</v>
      </c>
      <c r="C41" s="18">
        <v>7</v>
      </c>
      <c r="D41" s="14" t="s">
        <v>27</v>
      </c>
      <c r="E41" s="14" t="s">
        <v>17</v>
      </c>
      <c r="F41" s="14" t="s">
        <v>32</v>
      </c>
      <c r="G41" s="14" t="s">
        <v>33</v>
      </c>
      <c r="H41" s="14" t="s">
        <v>34</v>
      </c>
      <c r="I41" s="18">
        <v>817</v>
      </c>
      <c r="J41" s="17">
        <v>115409.83548922891</v>
      </c>
      <c r="K41" s="16">
        <v>1540947.9265992921</v>
      </c>
      <c r="L41" s="15">
        <f t="shared" si="4"/>
        <v>13.351963635223337</v>
      </c>
      <c r="M41" s="15">
        <f t="shared" si="5"/>
        <v>1886.1051733161469</v>
      </c>
      <c r="N41" s="24" t="str">
        <f t="shared" si="6"/>
        <v>Yes</v>
      </c>
      <c r="O41" s="24" t="str">
        <f t="shared" si="7"/>
        <v>Normal</v>
      </c>
    </row>
    <row r="42" spans="1:15">
      <c r="A42" s="23">
        <v>45870</v>
      </c>
      <c r="B42" s="18">
        <v>2025</v>
      </c>
      <c r="C42" s="18">
        <v>8</v>
      </c>
      <c r="D42" s="14" t="s">
        <v>28</v>
      </c>
      <c r="E42" s="14" t="s">
        <v>17</v>
      </c>
      <c r="F42" s="14" t="s">
        <v>32</v>
      </c>
      <c r="G42" s="14" t="s">
        <v>33</v>
      </c>
      <c r="H42" s="14" t="s">
        <v>34</v>
      </c>
      <c r="I42" s="18">
        <v>817</v>
      </c>
      <c r="J42" s="17">
        <v>124801.6715338439</v>
      </c>
      <c r="K42" s="16">
        <v>1111557.9078258451</v>
      </c>
      <c r="L42" s="15">
        <f t="shared" si="4"/>
        <v>8.9065947127511933</v>
      </c>
      <c r="M42" s="15">
        <f t="shared" si="5"/>
        <v>1360.5359948908751</v>
      </c>
      <c r="N42" s="24" t="str">
        <f t="shared" si="6"/>
        <v>Yes</v>
      </c>
      <c r="O42" s="24" t="str">
        <f t="shared" si="7"/>
        <v>Normal</v>
      </c>
    </row>
    <row r="43" spans="1:15">
      <c r="A43" s="23">
        <v>45901</v>
      </c>
      <c r="B43" s="18">
        <v>2025</v>
      </c>
      <c r="C43" s="18">
        <v>9</v>
      </c>
      <c r="D43" s="14" t="s">
        <v>29</v>
      </c>
      <c r="E43" s="14" t="s">
        <v>17</v>
      </c>
      <c r="F43" s="14" t="s">
        <v>32</v>
      </c>
      <c r="G43" s="14" t="s">
        <v>33</v>
      </c>
      <c r="H43" s="14" t="s">
        <v>34</v>
      </c>
      <c r="I43" s="18">
        <v>817</v>
      </c>
      <c r="J43" s="17">
        <v>82129.025741515012</v>
      </c>
      <c r="K43" s="16">
        <v>1873403.0953085141</v>
      </c>
      <c r="L43" s="15">
        <f t="shared" si="4"/>
        <v>22.810487259457851</v>
      </c>
      <c r="M43" s="15">
        <f t="shared" si="5"/>
        <v>2293.0270444412658</v>
      </c>
      <c r="N43" s="24" t="str">
        <f t="shared" si="6"/>
        <v>Yes</v>
      </c>
      <c r="O43" s="24" t="str">
        <f t="shared" si="7"/>
        <v>Normal</v>
      </c>
    </row>
    <row r="44" spans="1:15">
      <c r="A44" s="23">
        <v>45931</v>
      </c>
      <c r="B44" s="18">
        <v>2025</v>
      </c>
      <c r="C44" s="18">
        <v>10</v>
      </c>
      <c r="D44" s="14" t="s">
        <v>30</v>
      </c>
      <c r="E44" s="14" t="s">
        <v>17</v>
      </c>
      <c r="F44" s="14" t="s">
        <v>32</v>
      </c>
      <c r="G44" s="14" t="s">
        <v>33</v>
      </c>
      <c r="H44" s="14" t="s">
        <v>34</v>
      </c>
      <c r="I44" s="18">
        <v>817</v>
      </c>
      <c r="J44" s="17">
        <v>81671.69712550909</v>
      </c>
      <c r="K44" s="16">
        <v>1419405.7511068699</v>
      </c>
      <c r="L44" s="15">
        <f t="shared" si="4"/>
        <v>17.379408057672613</v>
      </c>
      <c r="M44" s="15">
        <f t="shared" si="5"/>
        <v>1737.3387406448835</v>
      </c>
      <c r="N44" s="24" t="str">
        <f t="shared" si="6"/>
        <v>Yes</v>
      </c>
      <c r="O44" s="24" t="str">
        <f t="shared" si="7"/>
        <v>Normal</v>
      </c>
    </row>
    <row r="45" spans="1:15">
      <c r="A45" s="23">
        <v>45962</v>
      </c>
      <c r="B45" s="18">
        <v>2025</v>
      </c>
      <c r="C45" s="18">
        <v>11</v>
      </c>
      <c r="D45" s="14" t="s">
        <v>31</v>
      </c>
      <c r="E45" s="14" t="s">
        <v>17</v>
      </c>
      <c r="F45" s="14" t="s">
        <v>32</v>
      </c>
      <c r="G45" s="14" t="s">
        <v>33</v>
      </c>
      <c r="H45" s="14" t="s">
        <v>34</v>
      </c>
      <c r="I45" s="18">
        <v>817</v>
      </c>
      <c r="J45" s="17">
        <v>89112.886323797371</v>
      </c>
      <c r="K45" s="16">
        <v>962845.73934535624</v>
      </c>
      <c r="L45" s="15">
        <f t="shared" si="4"/>
        <v>10.804786816654044</v>
      </c>
      <c r="M45" s="15">
        <f t="shared" si="5"/>
        <v>1178.5137568486612</v>
      </c>
      <c r="N45" s="24" t="str">
        <f t="shared" si="6"/>
        <v>Yes</v>
      </c>
      <c r="O45" s="24" t="str">
        <f t="shared" si="7"/>
        <v>Normal</v>
      </c>
    </row>
    <row r="46" spans="1:15">
      <c r="A46" s="23">
        <v>45992</v>
      </c>
      <c r="B46" s="18">
        <v>2025</v>
      </c>
      <c r="C46" s="18">
        <v>12</v>
      </c>
      <c r="D46" s="14" t="s">
        <v>16</v>
      </c>
      <c r="E46" s="14" t="s">
        <v>17</v>
      </c>
      <c r="F46" s="14" t="s">
        <v>32</v>
      </c>
      <c r="G46" s="14" t="s">
        <v>33</v>
      </c>
      <c r="H46" s="14" t="s">
        <v>34</v>
      </c>
      <c r="I46" s="18">
        <v>817</v>
      </c>
      <c r="J46" s="17">
        <v>89598.548654938975</v>
      </c>
      <c r="K46" s="16">
        <v>999360.72987712186</v>
      </c>
      <c r="L46" s="15">
        <f t="shared" si="4"/>
        <v>11.153760243660304</v>
      </c>
      <c r="M46" s="15">
        <f t="shared" si="5"/>
        <v>1223.2077477076155</v>
      </c>
      <c r="N46" s="24" t="str">
        <f t="shared" si="6"/>
        <v>Yes</v>
      </c>
      <c r="O46" s="24" t="str">
        <f t="shared" si="7"/>
        <v>Normal</v>
      </c>
    </row>
    <row r="47" spans="1:15">
      <c r="A47" s="23">
        <v>46023</v>
      </c>
      <c r="B47" s="18">
        <v>2026</v>
      </c>
      <c r="C47" s="18">
        <v>1</v>
      </c>
      <c r="D47" s="14" t="s">
        <v>21</v>
      </c>
      <c r="E47" s="14" t="s">
        <v>17</v>
      </c>
      <c r="F47" s="14" t="s">
        <v>32</v>
      </c>
      <c r="G47" s="14" t="s">
        <v>33</v>
      </c>
      <c r="H47" s="14" t="s">
        <v>34</v>
      </c>
      <c r="I47" s="18">
        <v>817</v>
      </c>
      <c r="J47" s="17">
        <v>56710.110829577992</v>
      </c>
      <c r="K47" s="16">
        <v>1246832.07667923</v>
      </c>
      <c r="L47" s="15">
        <f t="shared" si="4"/>
        <v>21.986063127722304</v>
      </c>
      <c r="M47" s="15">
        <f t="shared" si="5"/>
        <v>1526.1102529733537</v>
      </c>
      <c r="N47" s="24" t="str">
        <f t="shared" si="6"/>
        <v>Yes</v>
      </c>
      <c r="O47" s="24" t="str">
        <f t="shared" si="7"/>
        <v>Normal</v>
      </c>
    </row>
    <row r="48" spans="1:15">
      <c r="A48" s="23">
        <v>46054</v>
      </c>
      <c r="B48" s="18">
        <v>2026</v>
      </c>
      <c r="C48" s="18">
        <v>2</v>
      </c>
      <c r="D48" s="14" t="s">
        <v>22</v>
      </c>
      <c r="E48" s="14" t="s">
        <v>17</v>
      </c>
      <c r="F48" s="14" t="s">
        <v>32</v>
      </c>
      <c r="G48" s="14" t="s">
        <v>33</v>
      </c>
      <c r="H48" s="14" t="s">
        <v>34</v>
      </c>
      <c r="I48" s="18">
        <v>817</v>
      </c>
      <c r="J48" s="17">
        <v>85065.928374515963</v>
      </c>
      <c r="K48" s="16">
        <v>1130922.036077101</v>
      </c>
      <c r="L48" s="15">
        <f t="shared" si="4"/>
        <v>13.29465342572929</v>
      </c>
      <c r="M48" s="15">
        <f t="shared" si="5"/>
        <v>1384.2374982583856</v>
      </c>
      <c r="N48" s="24" t="str">
        <f t="shared" si="6"/>
        <v>Yes</v>
      </c>
      <c r="O48" s="24" t="str">
        <f t="shared" si="7"/>
        <v>Normal</v>
      </c>
    </row>
    <row r="49" spans="1:15">
      <c r="A49" s="23">
        <v>46082</v>
      </c>
      <c r="B49" s="18">
        <v>2026</v>
      </c>
      <c r="C49" s="18">
        <v>3</v>
      </c>
      <c r="D49" s="14" t="s">
        <v>23</v>
      </c>
      <c r="E49" s="14" t="s">
        <v>17</v>
      </c>
      <c r="F49" s="14" t="s">
        <v>32</v>
      </c>
      <c r="G49" s="14" t="s">
        <v>33</v>
      </c>
      <c r="H49" s="14" t="s">
        <v>34</v>
      </c>
      <c r="I49" s="18">
        <v>817</v>
      </c>
      <c r="J49" s="17">
        <v>110920.2422156332</v>
      </c>
      <c r="K49" s="16">
        <v>1217500.9084868629</v>
      </c>
      <c r="L49" s="15">
        <f t="shared" si="4"/>
        <v>10.976363593941622</v>
      </c>
      <c r="M49" s="15">
        <f t="shared" si="5"/>
        <v>1490.2091903143976</v>
      </c>
      <c r="N49" s="24" t="str">
        <f t="shared" si="6"/>
        <v>Yes</v>
      </c>
      <c r="O49" s="24" t="str">
        <f t="shared" si="7"/>
        <v>Normal</v>
      </c>
    </row>
    <row r="50" spans="1:15">
      <c r="A50" s="23">
        <v>46113</v>
      </c>
      <c r="B50" s="18">
        <v>2026</v>
      </c>
      <c r="C50" s="18">
        <v>4</v>
      </c>
      <c r="D50" s="14" t="s">
        <v>24</v>
      </c>
      <c r="E50" s="14" t="s">
        <v>17</v>
      </c>
      <c r="F50" s="14" t="s">
        <v>32</v>
      </c>
      <c r="G50" s="14" t="s">
        <v>33</v>
      </c>
      <c r="H50" s="14" t="s">
        <v>34</v>
      </c>
      <c r="I50" s="18">
        <v>817</v>
      </c>
      <c r="J50" s="17">
        <v>80014.025079740546</v>
      </c>
      <c r="K50" s="16">
        <v>1072194.886929946</v>
      </c>
      <c r="L50" s="15">
        <f t="shared" si="4"/>
        <v>13.400086870538207</v>
      </c>
      <c r="M50" s="15">
        <f t="shared" si="5"/>
        <v>1312.3560427539119</v>
      </c>
      <c r="N50" s="24" t="str">
        <f t="shared" si="6"/>
        <v>Yes</v>
      </c>
      <c r="O50" s="24" t="str">
        <f t="shared" si="7"/>
        <v>Normal</v>
      </c>
    </row>
    <row r="51" spans="1:15">
      <c r="A51" s="23">
        <v>46143</v>
      </c>
      <c r="B51" s="18">
        <v>2026</v>
      </c>
      <c r="C51" s="18">
        <v>5</v>
      </c>
      <c r="D51" s="14" t="s">
        <v>25</v>
      </c>
      <c r="E51" s="14" t="s">
        <v>17</v>
      </c>
      <c r="F51" s="14" t="s">
        <v>32</v>
      </c>
      <c r="G51" s="14" t="s">
        <v>33</v>
      </c>
      <c r="H51" s="14" t="s">
        <v>34</v>
      </c>
      <c r="I51" s="18">
        <v>817</v>
      </c>
      <c r="J51" s="17">
        <v>94011.598104168646</v>
      </c>
      <c r="K51" s="16">
        <v>1752521.495699323</v>
      </c>
      <c r="L51" s="15">
        <f t="shared" si="4"/>
        <v>18.64154562884314</v>
      </c>
      <c r="M51" s="15">
        <f t="shared" si="5"/>
        <v>2145.06915018277</v>
      </c>
      <c r="N51" s="24" t="str">
        <f t="shared" si="6"/>
        <v>Yes</v>
      </c>
      <c r="O51" s="24" t="str">
        <f t="shared" si="7"/>
        <v>Normal</v>
      </c>
    </row>
    <row r="52" spans="1:15">
      <c r="A52" s="23">
        <v>46174</v>
      </c>
      <c r="B52" s="18">
        <v>2026</v>
      </c>
      <c r="C52" s="18">
        <v>6</v>
      </c>
      <c r="D52" s="14" t="s">
        <v>26</v>
      </c>
      <c r="E52" s="14" t="s">
        <v>17</v>
      </c>
      <c r="F52" s="14" t="s">
        <v>32</v>
      </c>
      <c r="G52" s="14" t="s">
        <v>33</v>
      </c>
      <c r="H52" s="14" t="s">
        <v>34</v>
      </c>
      <c r="I52" s="18">
        <v>817</v>
      </c>
      <c r="J52" s="17">
        <v>118818.5835271229</v>
      </c>
      <c r="K52" s="16">
        <v>1731529.43286629</v>
      </c>
      <c r="L52" s="15">
        <f t="shared" si="4"/>
        <v>14.572883983851154</v>
      </c>
      <c r="M52" s="15">
        <f t="shared" si="5"/>
        <v>2119.3750708277721</v>
      </c>
      <c r="N52" s="24" t="str">
        <f t="shared" si="6"/>
        <v>No</v>
      </c>
      <c r="O52" s="24" t="str">
        <f t="shared" si="7"/>
        <v>Normal</v>
      </c>
    </row>
    <row r="53" spans="1:15">
      <c r="A53" s="23">
        <v>45292</v>
      </c>
      <c r="B53" s="18">
        <v>2024</v>
      </c>
      <c r="C53" s="18">
        <v>1</v>
      </c>
      <c r="D53" s="14" t="s">
        <v>21</v>
      </c>
      <c r="E53" s="14" t="s">
        <v>17</v>
      </c>
      <c r="F53" s="14" t="s">
        <v>35</v>
      </c>
      <c r="G53" s="14" t="s">
        <v>19</v>
      </c>
      <c r="H53" s="14" t="s">
        <v>36</v>
      </c>
      <c r="I53" s="18">
        <v>190</v>
      </c>
      <c r="J53" s="17">
        <v>7117.4392181047324</v>
      </c>
      <c r="K53" s="16">
        <v>34077.756920189197</v>
      </c>
      <c r="L53" s="15">
        <f t="shared" si="4"/>
        <v>4.7879238411344796</v>
      </c>
      <c r="M53" s="15">
        <f t="shared" si="5"/>
        <v>179.35661536941683</v>
      </c>
      <c r="N53" s="24" t="str">
        <f t="shared" si="6"/>
        <v>No</v>
      </c>
      <c r="O53" s="24" t="str">
        <f t="shared" si="7"/>
        <v>Normal</v>
      </c>
    </row>
    <row r="54" spans="1:15">
      <c r="A54" s="23">
        <v>45323</v>
      </c>
      <c r="B54" s="18">
        <v>2024</v>
      </c>
      <c r="C54" s="18">
        <v>2</v>
      </c>
      <c r="D54" s="14" t="s">
        <v>22</v>
      </c>
      <c r="E54" s="14" t="s">
        <v>17</v>
      </c>
      <c r="F54" s="14" t="s">
        <v>35</v>
      </c>
      <c r="G54" s="14" t="s">
        <v>19</v>
      </c>
      <c r="H54" s="14" t="s">
        <v>36</v>
      </c>
      <c r="I54" s="18">
        <v>190</v>
      </c>
      <c r="J54" s="17">
        <v>10431.96732178847</v>
      </c>
      <c r="K54" s="16">
        <v>51134.18910458561</v>
      </c>
      <c r="L54" s="15">
        <f t="shared" si="4"/>
        <v>4.9016822548691703</v>
      </c>
      <c r="M54" s="15">
        <f t="shared" si="5"/>
        <v>269.12731107676638</v>
      </c>
      <c r="N54" s="24" t="str">
        <f t="shared" si="6"/>
        <v>No</v>
      </c>
      <c r="O54" s="24" t="str">
        <f t="shared" si="7"/>
        <v>Normal</v>
      </c>
    </row>
    <row r="55" spans="1:15">
      <c r="A55" s="23">
        <v>45352</v>
      </c>
      <c r="B55" s="18">
        <v>2024</v>
      </c>
      <c r="C55" s="18">
        <v>3</v>
      </c>
      <c r="D55" s="14" t="s">
        <v>23</v>
      </c>
      <c r="E55" s="14" t="s">
        <v>17</v>
      </c>
      <c r="F55" s="14" t="s">
        <v>35</v>
      </c>
      <c r="G55" s="14" t="s">
        <v>19</v>
      </c>
      <c r="H55" s="14" t="s">
        <v>36</v>
      </c>
      <c r="I55" s="18">
        <v>190</v>
      </c>
      <c r="J55" s="17">
        <v>14434.86921099396</v>
      </c>
      <c r="K55" s="16">
        <v>44332.617678549323</v>
      </c>
      <c r="L55" s="15">
        <f t="shared" si="4"/>
        <v>3.0712171361264904</v>
      </c>
      <c r="M55" s="15">
        <f t="shared" si="5"/>
        <v>233.32956672920696</v>
      </c>
      <c r="N55" s="24" t="str">
        <f t="shared" si="6"/>
        <v>No</v>
      </c>
      <c r="O55" s="24" t="str">
        <f t="shared" si="7"/>
        <v>Normal</v>
      </c>
    </row>
    <row r="56" spans="1:15">
      <c r="A56" s="23">
        <v>45383</v>
      </c>
      <c r="B56" s="18">
        <v>2024</v>
      </c>
      <c r="C56" s="18">
        <v>4</v>
      </c>
      <c r="D56" s="14" t="s">
        <v>24</v>
      </c>
      <c r="E56" s="14" t="s">
        <v>17</v>
      </c>
      <c r="F56" s="14" t="s">
        <v>35</v>
      </c>
      <c r="G56" s="14" t="s">
        <v>19</v>
      </c>
      <c r="H56" s="14" t="s">
        <v>36</v>
      </c>
      <c r="I56" s="18">
        <v>269</v>
      </c>
      <c r="J56" s="17">
        <v>36788.995168162473</v>
      </c>
      <c r="K56" s="16">
        <v>211859.32893927331</v>
      </c>
      <c r="L56" s="15">
        <f t="shared" si="4"/>
        <v>5.758769109372639</v>
      </c>
      <c r="M56" s="15">
        <f t="shared" si="5"/>
        <v>787.58114847313504</v>
      </c>
      <c r="N56" s="24" t="str">
        <f t="shared" si="6"/>
        <v>No</v>
      </c>
      <c r="O56" s="24" t="str">
        <f t="shared" si="7"/>
        <v>Normal</v>
      </c>
    </row>
    <row r="57" spans="1:15">
      <c r="A57" s="23">
        <v>45413</v>
      </c>
      <c r="B57" s="18">
        <v>2024</v>
      </c>
      <c r="C57" s="18">
        <v>5</v>
      </c>
      <c r="D57" s="14" t="s">
        <v>25</v>
      </c>
      <c r="E57" s="14" t="s">
        <v>17</v>
      </c>
      <c r="F57" s="14" t="s">
        <v>35</v>
      </c>
      <c r="G57" s="14" t="s">
        <v>19</v>
      </c>
      <c r="H57" s="14" t="s">
        <v>36</v>
      </c>
      <c r="I57" s="18">
        <v>269</v>
      </c>
      <c r="J57" s="17">
        <v>64273.106591886331</v>
      </c>
      <c r="K57" s="16">
        <v>221990.66031930101</v>
      </c>
      <c r="L57" s="15">
        <f t="shared" si="4"/>
        <v>3.4538654203984676</v>
      </c>
      <c r="M57" s="15">
        <f t="shared" si="5"/>
        <v>825.24409040632349</v>
      </c>
      <c r="N57" s="24" t="str">
        <f t="shared" si="6"/>
        <v>No</v>
      </c>
      <c r="O57" s="24" t="str">
        <f t="shared" si="7"/>
        <v>Normal</v>
      </c>
    </row>
    <row r="58" spans="1:15">
      <c r="A58" s="23">
        <v>45444</v>
      </c>
      <c r="B58" s="18">
        <v>2024</v>
      </c>
      <c r="C58" s="18">
        <v>6</v>
      </c>
      <c r="D58" s="14" t="s">
        <v>26</v>
      </c>
      <c r="E58" s="14" t="s">
        <v>17</v>
      </c>
      <c r="F58" s="14" t="s">
        <v>35</v>
      </c>
      <c r="G58" s="14" t="s">
        <v>19</v>
      </c>
      <c r="H58" s="14" t="s">
        <v>36</v>
      </c>
      <c r="I58" s="18">
        <v>269</v>
      </c>
      <c r="J58" s="17">
        <v>40992.451514365879</v>
      </c>
      <c r="K58" s="16">
        <v>203323.1642685713</v>
      </c>
      <c r="L58" s="15">
        <f t="shared" si="4"/>
        <v>4.9600147528945993</v>
      </c>
      <c r="M58" s="15">
        <f t="shared" si="5"/>
        <v>755.84819430695654</v>
      </c>
      <c r="N58" s="24" t="str">
        <f t="shared" si="6"/>
        <v>No</v>
      </c>
      <c r="O58" s="24" t="str">
        <f t="shared" si="7"/>
        <v>Normal</v>
      </c>
    </row>
    <row r="59" spans="1:15">
      <c r="A59" s="23">
        <v>45474</v>
      </c>
      <c r="B59" s="18">
        <v>2024</v>
      </c>
      <c r="C59" s="18">
        <v>7</v>
      </c>
      <c r="D59" s="14" t="s">
        <v>27</v>
      </c>
      <c r="E59" s="14" t="s">
        <v>17</v>
      </c>
      <c r="F59" s="14" t="s">
        <v>35</v>
      </c>
      <c r="G59" s="14" t="s">
        <v>19</v>
      </c>
      <c r="H59" s="14" t="s">
        <v>36</v>
      </c>
      <c r="I59" s="18">
        <v>269</v>
      </c>
      <c r="J59" s="17">
        <v>32334.148937957951</v>
      </c>
      <c r="K59" s="16">
        <v>324017.22636824893</v>
      </c>
      <c r="L59" s="15">
        <f t="shared" si="4"/>
        <v>10.020898554960144</v>
      </c>
      <c r="M59" s="15">
        <f t="shared" si="5"/>
        <v>1204.5250050864272</v>
      </c>
      <c r="N59" s="24" t="str">
        <f t="shared" si="6"/>
        <v>No</v>
      </c>
      <c r="O59" s="24" t="str">
        <f t="shared" si="7"/>
        <v>Normal</v>
      </c>
    </row>
    <row r="60" spans="1:15">
      <c r="A60" s="23">
        <v>45505</v>
      </c>
      <c r="B60" s="18">
        <v>2024</v>
      </c>
      <c r="C60" s="18">
        <v>8</v>
      </c>
      <c r="D60" s="14" t="s">
        <v>28</v>
      </c>
      <c r="E60" s="14" t="s">
        <v>17</v>
      </c>
      <c r="F60" s="14" t="s">
        <v>35</v>
      </c>
      <c r="G60" s="14" t="s">
        <v>19</v>
      </c>
      <c r="H60" s="14" t="s">
        <v>36</v>
      </c>
      <c r="I60" s="18">
        <v>269</v>
      </c>
      <c r="J60" s="17">
        <v>34998.211655919811</v>
      </c>
      <c r="K60" s="16">
        <v>230259.69635774349</v>
      </c>
      <c r="L60" s="15">
        <f t="shared" si="4"/>
        <v>6.579184634389625</v>
      </c>
      <c r="M60" s="15">
        <f t="shared" si="5"/>
        <v>855.9840013299015</v>
      </c>
      <c r="N60" s="24" t="str">
        <f t="shared" si="6"/>
        <v>No</v>
      </c>
      <c r="O60" s="24" t="str">
        <f t="shared" si="7"/>
        <v>Normal</v>
      </c>
    </row>
    <row r="61" spans="1:15">
      <c r="A61" s="23">
        <v>45536</v>
      </c>
      <c r="B61" s="18">
        <v>2024</v>
      </c>
      <c r="C61" s="18">
        <v>9</v>
      </c>
      <c r="D61" s="14" t="s">
        <v>29</v>
      </c>
      <c r="E61" s="14" t="s">
        <v>17</v>
      </c>
      <c r="F61" s="14" t="s">
        <v>35</v>
      </c>
      <c r="G61" s="14" t="s">
        <v>19</v>
      </c>
      <c r="H61" s="14" t="s">
        <v>36</v>
      </c>
      <c r="I61" s="18">
        <v>269</v>
      </c>
      <c r="J61" s="17">
        <v>33384.434893831683</v>
      </c>
      <c r="K61" s="16">
        <v>280727.83303975943</v>
      </c>
      <c r="L61" s="15">
        <f t="shared" si="4"/>
        <v>8.4089436868565492</v>
      </c>
      <c r="M61" s="15">
        <f t="shared" si="5"/>
        <v>1043.597892341113</v>
      </c>
      <c r="N61" s="24" t="str">
        <f t="shared" si="6"/>
        <v>No</v>
      </c>
      <c r="O61" s="24" t="str">
        <f t="shared" si="7"/>
        <v>Normal</v>
      </c>
    </row>
    <row r="62" spans="1:15">
      <c r="A62" s="23">
        <v>45566</v>
      </c>
      <c r="B62" s="18">
        <v>2024</v>
      </c>
      <c r="C62" s="18">
        <v>10</v>
      </c>
      <c r="D62" s="14" t="s">
        <v>30</v>
      </c>
      <c r="E62" s="14" t="s">
        <v>17</v>
      </c>
      <c r="F62" s="14" t="s">
        <v>35</v>
      </c>
      <c r="G62" s="14" t="s">
        <v>19</v>
      </c>
      <c r="H62" s="14" t="s">
        <v>36</v>
      </c>
      <c r="I62" s="18">
        <v>269</v>
      </c>
      <c r="J62" s="17">
        <v>38503.731934786978</v>
      </c>
      <c r="K62" s="16">
        <v>231380.47420467241</v>
      </c>
      <c r="L62" s="15">
        <f t="shared" si="4"/>
        <v>6.0092999451730291</v>
      </c>
      <c r="M62" s="15">
        <f t="shared" si="5"/>
        <v>860.15046172740676</v>
      </c>
      <c r="N62" s="24" t="str">
        <f t="shared" si="6"/>
        <v>No</v>
      </c>
      <c r="O62" s="24" t="str">
        <f t="shared" si="7"/>
        <v>Normal</v>
      </c>
    </row>
    <row r="63" spans="1:15">
      <c r="A63" s="23">
        <v>45597</v>
      </c>
      <c r="B63" s="18">
        <v>2024</v>
      </c>
      <c r="C63" s="18">
        <v>11</v>
      </c>
      <c r="D63" s="14" t="s">
        <v>31</v>
      </c>
      <c r="E63" s="14" t="s">
        <v>17</v>
      </c>
      <c r="F63" s="14" t="s">
        <v>35</v>
      </c>
      <c r="G63" s="14" t="s">
        <v>19</v>
      </c>
      <c r="H63" s="14" t="s">
        <v>36</v>
      </c>
      <c r="I63" s="18">
        <v>269</v>
      </c>
      <c r="J63" s="17">
        <v>32772.850659629272</v>
      </c>
      <c r="K63" s="16">
        <v>287377.01958269771</v>
      </c>
      <c r="L63" s="15">
        <f t="shared" si="4"/>
        <v>8.7687526046276663</v>
      </c>
      <c r="M63" s="15">
        <f t="shared" si="5"/>
        <v>1068.3160579282444</v>
      </c>
      <c r="N63" s="24" t="str">
        <f t="shared" si="6"/>
        <v>No</v>
      </c>
      <c r="O63" s="24" t="str">
        <f t="shared" si="7"/>
        <v>Normal</v>
      </c>
    </row>
    <row r="64" spans="1:15">
      <c r="A64" s="23">
        <v>45627</v>
      </c>
      <c r="B64" s="18">
        <v>2024</v>
      </c>
      <c r="C64" s="18">
        <v>12</v>
      </c>
      <c r="D64" s="14" t="s">
        <v>16</v>
      </c>
      <c r="E64" s="14" t="s">
        <v>17</v>
      </c>
      <c r="F64" s="14" t="s">
        <v>35</v>
      </c>
      <c r="G64" s="14" t="s">
        <v>19</v>
      </c>
      <c r="H64" s="14" t="s">
        <v>36</v>
      </c>
      <c r="I64" s="18">
        <v>269</v>
      </c>
      <c r="J64" s="17">
        <v>40029.774820753279</v>
      </c>
      <c r="K64" s="16">
        <v>321474.83409252169</v>
      </c>
      <c r="L64" s="15">
        <f t="shared" si="4"/>
        <v>8.0308928924040401</v>
      </c>
      <c r="M64" s="15">
        <f t="shared" si="5"/>
        <v>1195.0737326859542</v>
      </c>
      <c r="N64" s="24" t="str">
        <f t="shared" si="6"/>
        <v>No</v>
      </c>
      <c r="O64" s="24" t="str">
        <f t="shared" si="7"/>
        <v>Normal</v>
      </c>
    </row>
    <row r="65" spans="1:15">
      <c r="A65" s="23">
        <v>45658</v>
      </c>
      <c r="B65" s="18">
        <v>2025</v>
      </c>
      <c r="C65" s="18">
        <v>1</v>
      </c>
      <c r="D65" s="14" t="s">
        <v>21</v>
      </c>
      <c r="E65" s="14" t="s">
        <v>17</v>
      </c>
      <c r="F65" s="14" t="s">
        <v>35</v>
      </c>
      <c r="G65" s="14" t="s">
        <v>19</v>
      </c>
      <c r="H65" s="14" t="s">
        <v>36</v>
      </c>
      <c r="I65" s="18">
        <v>269</v>
      </c>
      <c r="J65" s="17">
        <v>28232.109348755381</v>
      </c>
      <c r="K65" s="16">
        <v>222701.01974668109</v>
      </c>
      <c r="L65" s="15">
        <f t="shared" si="4"/>
        <v>7.8882175254998765</v>
      </c>
      <c r="M65" s="15">
        <f t="shared" si="5"/>
        <v>827.88483177204864</v>
      </c>
      <c r="N65" s="24" t="str">
        <f t="shared" si="6"/>
        <v>No</v>
      </c>
      <c r="O65" s="24" t="str">
        <f t="shared" si="7"/>
        <v>Normal</v>
      </c>
    </row>
    <row r="66" spans="1:15">
      <c r="A66" s="23">
        <v>45689</v>
      </c>
      <c r="B66" s="18">
        <v>2025</v>
      </c>
      <c r="C66" s="18">
        <v>2</v>
      </c>
      <c r="D66" s="14" t="s">
        <v>22</v>
      </c>
      <c r="E66" s="14" t="s">
        <v>17</v>
      </c>
      <c r="F66" s="14" t="s">
        <v>35</v>
      </c>
      <c r="G66" s="14" t="s">
        <v>19</v>
      </c>
      <c r="H66" s="14" t="s">
        <v>36</v>
      </c>
      <c r="I66" s="18">
        <v>269</v>
      </c>
      <c r="J66" s="17">
        <v>35871.175233940521</v>
      </c>
      <c r="K66" s="16">
        <v>192200.1490889304</v>
      </c>
      <c r="L66" s="15">
        <f t="shared" si="4"/>
        <v>5.3580666882381598</v>
      </c>
      <c r="M66" s="15">
        <f t="shared" si="5"/>
        <v>714.49869549788252</v>
      </c>
      <c r="N66" s="24" t="str">
        <f t="shared" si="6"/>
        <v>No</v>
      </c>
      <c r="O66" s="24" t="str">
        <f t="shared" si="7"/>
        <v>Normal</v>
      </c>
    </row>
    <row r="67" spans="1:15">
      <c r="A67" s="23">
        <v>45717</v>
      </c>
      <c r="B67" s="18">
        <v>2025</v>
      </c>
      <c r="C67" s="18">
        <v>3</v>
      </c>
      <c r="D67" s="14" t="s">
        <v>23</v>
      </c>
      <c r="E67" s="14" t="s">
        <v>17</v>
      </c>
      <c r="F67" s="14" t="s">
        <v>35</v>
      </c>
      <c r="G67" s="14" t="s">
        <v>19</v>
      </c>
      <c r="H67" s="14" t="s">
        <v>36</v>
      </c>
      <c r="I67" s="18">
        <v>269</v>
      </c>
      <c r="J67" s="17">
        <v>41222.335615022283</v>
      </c>
      <c r="K67" s="16">
        <v>214085.73709116879</v>
      </c>
      <c r="L67" s="15">
        <f t="shared" si="4"/>
        <v>5.1934402526467096</v>
      </c>
      <c r="M67" s="15">
        <f t="shared" si="5"/>
        <v>795.85775870322971</v>
      </c>
      <c r="N67" s="24" t="str">
        <f t="shared" si="6"/>
        <v>No</v>
      </c>
      <c r="O67" s="24" t="str">
        <f t="shared" si="7"/>
        <v>Normal</v>
      </c>
    </row>
    <row r="68" spans="1:15">
      <c r="A68" s="23">
        <v>45748</v>
      </c>
      <c r="B68" s="18">
        <v>2025</v>
      </c>
      <c r="C68" s="18">
        <v>4</v>
      </c>
      <c r="D68" s="14" t="s">
        <v>24</v>
      </c>
      <c r="E68" s="14" t="s">
        <v>17</v>
      </c>
      <c r="F68" s="14" t="s">
        <v>35</v>
      </c>
      <c r="G68" s="14" t="s">
        <v>19</v>
      </c>
      <c r="H68" s="14" t="s">
        <v>36</v>
      </c>
      <c r="I68" s="18">
        <v>269</v>
      </c>
      <c r="J68" s="17">
        <v>46298.558969116348</v>
      </c>
      <c r="K68" s="16">
        <v>332702.72277619707</v>
      </c>
      <c r="L68" s="15">
        <f t="shared" ref="L68:L99" si="8">IFERROR(K68/J68,"")</f>
        <v>7.1860276039720343</v>
      </c>
      <c r="M68" s="15">
        <f t="shared" ref="M68:M99" si="9">IFERROR(K68/I68,"")</f>
        <v>1236.8130958222939</v>
      </c>
      <c r="N68" s="24" t="str">
        <f t="shared" ref="N68:N99" si="10">IF(AND(A68&gt;=DATE(2025,6,1),A68&lt;=DATE(2026,5,1)),"Yes","No")</f>
        <v>No</v>
      </c>
      <c r="O68" s="24" t="str">
        <f t="shared" ref="O68:O99" si="11">IF(L68="","Check",IF(L68&gt;50,"Review","Normal"))</f>
        <v>Normal</v>
      </c>
    </row>
    <row r="69" spans="1:15">
      <c r="A69" s="23">
        <v>45778</v>
      </c>
      <c r="B69" s="18">
        <v>2025</v>
      </c>
      <c r="C69" s="18">
        <v>5</v>
      </c>
      <c r="D69" s="14" t="s">
        <v>25</v>
      </c>
      <c r="E69" s="14" t="s">
        <v>17</v>
      </c>
      <c r="F69" s="14" t="s">
        <v>35</v>
      </c>
      <c r="G69" s="14" t="s">
        <v>19</v>
      </c>
      <c r="H69" s="14" t="s">
        <v>36</v>
      </c>
      <c r="I69" s="18">
        <v>269</v>
      </c>
      <c r="J69" s="17">
        <v>43882.967489055532</v>
      </c>
      <c r="K69" s="16">
        <v>288954.44466834591</v>
      </c>
      <c r="L69" s="15">
        <f t="shared" si="8"/>
        <v>6.5846605460401353</v>
      </c>
      <c r="M69" s="15">
        <f t="shared" si="9"/>
        <v>1074.1800917038881</v>
      </c>
      <c r="N69" s="24" t="str">
        <f t="shared" si="10"/>
        <v>No</v>
      </c>
      <c r="O69" s="24" t="str">
        <f t="shared" si="11"/>
        <v>Normal</v>
      </c>
    </row>
    <row r="70" spans="1:15">
      <c r="A70" s="23">
        <v>45809</v>
      </c>
      <c r="B70" s="18">
        <v>2025</v>
      </c>
      <c r="C70" s="18">
        <v>6</v>
      </c>
      <c r="D70" s="14" t="s">
        <v>26</v>
      </c>
      <c r="E70" s="14" t="s">
        <v>17</v>
      </c>
      <c r="F70" s="14" t="s">
        <v>35</v>
      </c>
      <c r="G70" s="14" t="s">
        <v>19</v>
      </c>
      <c r="H70" s="14" t="s">
        <v>36</v>
      </c>
      <c r="I70" s="18">
        <v>269</v>
      </c>
      <c r="J70" s="17">
        <v>30463.253797836249</v>
      </c>
      <c r="K70" s="16">
        <v>243434.60480827859</v>
      </c>
      <c r="L70" s="15">
        <f t="shared" si="8"/>
        <v>7.9910900662085318</v>
      </c>
      <c r="M70" s="15">
        <f t="shared" si="9"/>
        <v>904.96135616460435</v>
      </c>
      <c r="N70" s="24" t="str">
        <f t="shared" si="10"/>
        <v>Yes</v>
      </c>
      <c r="O70" s="24" t="str">
        <f t="shared" si="11"/>
        <v>Normal</v>
      </c>
    </row>
    <row r="71" spans="1:15">
      <c r="A71" s="23">
        <v>45839</v>
      </c>
      <c r="B71" s="18">
        <v>2025</v>
      </c>
      <c r="C71" s="18">
        <v>7</v>
      </c>
      <c r="D71" s="14" t="s">
        <v>27</v>
      </c>
      <c r="E71" s="14" t="s">
        <v>17</v>
      </c>
      <c r="F71" s="14" t="s">
        <v>35</v>
      </c>
      <c r="G71" s="14" t="s">
        <v>19</v>
      </c>
      <c r="H71" s="14" t="s">
        <v>36</v>
      </c>
      <c r="I71" s="18">
        <v>269</v>
      </c>
      <c r="J71" s="17">
        <v>35025.1916707622</v>
      </c>
      <c r="K71" s="16">
        <v>344831.81147166208</v>
      </c>
      <c r="L71" s="15">
        <f t="shared" si="8"/>
        <v>9.845251232686774</v>
      </c>
      <c r="M71" s="15">
        <f t="shared" si="9"/>
        <v>1281.9026448760671</v>
      </c>
      <c r="N71" s="24" t="str">
        <f t="shared" si="10"/>
        <v>Yes</v>
      </c>
      <c r="O71" s="24" t="str">
        <f t="shared" si="11"/>
        <v>Normal</v>
      </c>
    </row>
    <row r="72" spans="1:15">
      <c r="A72" s="23">
        <v>45870</v>
      </c>
      <c r="B72" s="18">
        <v>2025</v>
      </c>
      <c r="C72" s="18">
        <v>8</v>
      </c>
      <c r="D72" s="14" t="s">
        <v>28</v>
      </c>
      <c r="E72" s="14" t="s">
        <v>17</v>
      </c>
      <c r="F72" s="14" t="s">
        <v>35</v>
      </c>
      <c r="G72" s="14" t="s">
        <v>19</v>
      </c>
      <c r="H72" s="14" t="s">
        <v>36</v>
      </c>
      <c r="I72" s="18">
        <v>269</v>
      </c>
      <c r="J72" s="17">
        <v>50338.166647292957</v>
      </c>
      <c r="K72" s="16">
        <v>291005.4215341144</v>
      </c>
      <c r="L72" s="15">
        <f t="shared" si="8"/>
        <v>5.781009538410828</v>
      </c>
      <c r="M72" s="15">
        <f t="shared" si="9"/>
        <v>1081.8045410190127</v>
      </c>
      <c r="N72" s="24" t="str">
        <f t="shared" si="10"/>
        <v>Yes</v>
      </c>
      <c r="O72" s="24" t="str">
        <f t="shared" si="11"/>
        <v>Normal</v>
      </c>
    </row>
    <row r="73" spans="1:15">
      <c r="A73" s="23">
        <v>45901</v>
      </c>
      <c r="B73" s="18">
        <v>2025</v>
      </c>
      <c r="C73" s="18">
        <v>9</v>
      </c>
      <c r="D73" s="14" t="s">
        <v>29</v>
      </c>
      <c r="E73" s="14" t="s">
        <v>17</v>
      </c>
      <c r="F73" s="14" t="s">
        <v>35</v>
      </c>
      <c r="G73" s="14" t="s">
        <v>19</v>
      </c>
      <c r="H73" s="14" t="s">
        <v>36</v>
      </c>
      <c r="I73" s="18">
        <v>269</v>
      </c>
      <c r="J73" s="17">
        <v>42654.926864794958</v>
      </c>
      <c r="K73" s="16">
        <v>299268.79525880108</v>
      </c>
      <c r="L73" s="15">
        <f t="shared" si="8"/>
        <v>7.016042864342622</v>
      </c>
      <c r="M73" s="15">
        <f t="shared" si="9"/>
        <v>1112.5234024490746</v>
      </c>
      <c r="N73" s="24" t="str">
        <f t="shared" si="10"/>
        <v>Yes</v>
      </c>
      <c r="O73" s="24" t="str">
        <f t="shared" si="11"/>
        <v>Normal</v>
      </c>
    </row>
    <row r="74" spans="1:15">
      <c r="A74" s="23">
        <v>45931</v>
      </c>
      <c r="B74" s="18">
        <v>2025</v>
      </c>
      <c r="C74" s="18">
        <v>10</v>
      </c>
      <c r="D74" s="14" t="s">
        <v>30</v>
      </c>
      <c r="E74" s="14" t="s">
        <v>17</v>
      </c>
      <c r="F74" s="14" t="s">
        <v>35</v>
      </c>
      <c r="G74" s="14" t="s">
        <v>19</v>
      </c>
      <c r="H74" s="14" t="s">
        <v>36</v>
      </c>
      <c r="I74" s="18">
        <v>269</v>
      </c>
      <c r="J74" s="17">
        <v>47093.21526280239</v>
      </c>
      <c r="K74" s="16">
        <v>332681.17071096657</v>
      </c>
      <c r="L74" s="15">
        <f t="shared" si="8"/>
        <v>7.0643121064138104</v>
      </c>
      <c r="M74" s="15">
        <f t="shared" si="9"/>
        <v>1236.7329766206935</v>
      </c>
      <c r="N74" s="24" t="str">
        <f t="shared" si="10"/>
        <v>Yes</v>
      </c>
      <c r="O74" s="24" t="str">
        <f t="shared" si="11"/>
        <v>Normal</v>
      </c>
    </row>
    <row r="75" spans="1:15">
      <c r="A75" s="23">
        <v>45962</v>
      </c>
      <c r="B75" s="18">
        <v>2025</v>
      </c>
      <c r="C75" s="18">
        <v>11</v>
      </c>
      <c r="D75" s="14" t="s">
        <v>31</v>
      </c>
      <c r="E75" s="14" t="s">
        <v>17</v>
      </c>
      <c r="F75" s="14" t="s">
        <v>35</v>
      </c>
      <c r="G75" s="14" t="s">
        <v>19</v>
      </c>
      <c r="H75" s="14" t="s">
        <v>36</v>
      </c>
      <c r="I75" s="18">
        <v>269</v>
      </c>
      <c r="J75" s="17">
        <v>29470.8417495182</v>
      </c>
      <c r="K75" s="16">
        <v>263158.11342310312</v>
      </c>
      <c r="L75" s="15">
        <f t="shared" si="8"/>
        <v>8.9294400092052104</v>
      </c>
      <c r="M75" s="15">
        <f t="shared" si="9"/>
        <v>978.28294952826434</v>
      </c>
      <c r="N75" s="24" t="str">
        <f t="shared" si="10"/>
        <v>Yes</v>
      </c>
      <c r="O75" s="24" t="str">
        <f t="shared" si="11"/>
        <v>Normal</v>
      </c>
    </row>
    <row r="76" spans="1:15">
      <c r="A76" s="23">
        <v>45992</v>
      </c>
      <c r="B76" s="18">
        <v>2025</v>
      </c>
      <c r="C76" s="18">
        <v>12</v>
      </c>
      <c r="D76" s="14" t="s">
        <v>16</v>
      </c>
      <c r="E76" s="14" t="s">
        <v>17</v>
      </c>
      <c r="F76" s="14" t="s">
        <v>35</v>
      </c>
      <c r="G76" s="14" t="s">
        <v>19</v>
      </c>
      <c r="H76" s="14" t="s">
        <v>36</v>
      </c>
      <c r="I76" s="18">
        <v>269</v>
      </c>
      <c r="J76" s="17">
        <v>36781.07120493205</v>
      </c>
      <c r="K76" s="16">
        <v>339965.06954469928</v>
      </c>
      <c r="L76" s="15">
        <f t="shared" si="8"/>
        <v>9.2429355211142585</v>
      </c>
      <c r="M76" s="15">
        <f t="shared" si="9"/>
        <v>1263.8106674524136</v>
      </c>
      <c r="N76" s="24" t="str">
        <f t="shared" si="10"/>
        <v>Yes</v>
      </c>
      <c r="O76" s="24" t="str">
        <f t="shared" si="11"/>
        <v>Normal</v>
      </c>
    </row>
    <row r="77" spans="1:15">
      <c r="A77" s="23">
        <v>46023</v>
      </c>
      <c r="B77" s="18">
        <v>2026</v>
      </c>
      <c r="C77" s="18">
        <v>1</v>
      </c>
      <c r="D77" s="14" t="s">
        <v>21</v>
      </c>
      <c r="E77" s="14" t="s">
        <v>17</v>
      </c>
      <c r="F77" s="14" t="s">
        <v>35</v>
      </c>
      <c r="G77" s="14" t="s">
        <v>19</v>
      </c>
      <c r="H77" s="14" t="s">
        <v>36</v>
      </c>
      <c r="I77" s="18">
        <v>269</v>
      </c>
      <c r="J77" s="17">
        <v>33920.852174383697</v>
      </c>
      <c r="K77" s="16">
        <v>291614.91942078382</v>
      </c>
      <c r="L77" s="15">
        <f t="shared" si="8"/>
        <v>8.5969219735878326</v>
      </c>
      <c r="M77" s="15">
        <f t="shared" si="9"/>
        <v>1084.0703324192707</v>
      </c>
      <c r="N77" s="24" t="str">
        <f t="shared" si="10"/>
        <v>Yes</v>
      </c>
      <c r="O77" s="24" t="str">
        <f t="shared" si="11"/>
        <v>Normal</v>
      </c>
    </row>
    <row r="78" spans="1:15">
      <c r="A78" s="23">
        <v>46054</v>
      </c>
      <c r="B78" s="18">
        <v>2026</v>
      </c>
      <c r="C78" s="18">
        <v>2</v>
      </c>
      <c r="D78" s="14" t="s">
        <v>22</v>
      </c>
      <c r="E78" s="14" t="s">
        <v>17</v>
      </c>
      <c r="F78" s="14" t="s">
        <v>35</v>
      </c>
      <c r="G78" s="14" t="s">
        <v>19</v>
      </c>
      <c r="H78" s="14" t="s">
        <v>36</v>
      </c>
      <c r="I78" s="18">
        <v>269</v>
      </c>
      <c r="J78" s="17">
        <v>36959.048252319197</v>
      </c>
      <c r="K78" s="16">
        <v>223956.63435442169</v>
      </c>
      <c r="L78" s="15">
        <f t="shared" si="8"/>
        <v>6.059588786634091</v>
      </c>
      <c r="M78" s="15">
        <f t="shared" si="9"/>
        <v>832.55254406848212</v>
      </c>
      <c r="N78" s="24" t="str">
        <f t="shared" si="10"/>
        <v>Yes</v>
      </c>
      <c r="O78" s="24" t="str">
        <f t="shared" si="11"/>
        <v>Normal</v>
      </c>
    </row>
    <row r="79" spans="1:15">
      <c r="A79" s="23">
        <v>46082</v>
      </c>
      <c r="B79" s="18">
        <v>2026</v>
      </c>
      <c r="C79" s="18">
        <v>3</v>
      </c>
      <c r="D79" s="14" t="s">
        <v>23</v>
      </c>
      <c r="E79" s="14" t="s">
        <v>17</v>
      </c>
      <c r="F79" s="14" t="s">
        <v>35</v>
      </c>
      <c r="G79" s="14" t="s">
        <v>19</v>
      </c>
      <c r="H79" s="14" t="s">
        <v>36</v>
      </c>
      <c r="I79" s="18">
        <v>269</v>
      </c>
      <c r="J79" s="17">
        <v>29910.11737615753</v>
      </c>
      <c r="K79" s="16">
        <v>328867.69399739319</v>
      </c>
      <c r="L79" s="15">
        <f t="shared" si="8"/>
        <v>10.995199044572988</v>
      </c>
      <c r="M79" s="15">
        <f t="shared" si="9"/>
        <v>1222.5564832616847</v>
      </c>
      <c r="N79" s="24" t="str">
        <f t="shared" si="10"/>
        <v>Yes</v>
      </c>
      <c r="O79" s="24" t="str">
        <f t="shared" si="11"/>
        <v>Normal</v>
      </c>
    </row>
    <row r="80" spans="1:15">
      <c r="A80" s="23">
        <v>46113</v>
      </c>
      <c r="B80" s="18">
        <v>2026</v>
      </c>
      <c r="C80" s="18">
        <v>4</v>
      </c>
      <c r="D80" s="14" t="s">
        <v>24</v>
      </c>
      <c r="E80" s="14" t="s">
        <v>17</v>
      </c>
      <c r="F80" s="14" t="s">
        <v>35</v>
      </c>
      <c r="G80" s="14" t="s">
        <v>19</v>
      </c>
      <c r="H80" s="14" t="s">
        <v>36</v>
      </c>
      <c r="I80" s="18">
        <v>269</v>
      </c>
      <c r="J80" s="17">
        <v>41426.498965958417</v>
      </c>
      <c r="K80" s="16">
        <v>352146.23359562992</v>
      </c>
      <c r="L80" s="15">
        <f t="shared" si="8"/>
        <v>8.5005067380905306</v>
      </c>
      <c r="M80" s="15">
        <f t="shared" si="9"/>
        <v>1309.0938051882154</v>
      </c>
      <c r="N80" s="24" t="str">
        <f t="shared" si="10"/>
        <v>Yes</v>
      </c>
      <c r="O80" s="24" t="str">
        <f t="shared" si="11"/>
        <v>Normal</v>
      </c>
    </row>
    <row r="81" spans="1:15">
      <c r="A81" s="23">
        <v>46143</v>
      </c>
      <c r="B81" s="18">
        <v>2026</v>
      </c>
      <c r="C81" s="18">
        <v>5</v>
      </c>
      <c r="D81" s="14" t="s">
        <v>25</v>
      </c>
      <c r="E81" s="14" t="s">
        <v>17</v>
      </c>
      <c r="F81" s="14" t="s">
        <v>35</v>
      </c>
      <c r="G81" s="14" t="s">
        <v>19</v>
      </c>
      <c r="H81" s="14" t="s">
        <v>36</v>
      </c>
      <c r="I81" s="18">
        <v>269</v>
      </c>
      <c r="J81" s="17">
        <v>36752.794766829822</v>
      </c>
      <c r="K81" s="16">
        <v>409432.95586988522</v>
      </c>
      <c r="L81" s="15">
        <f t="shared" si="8"/>
        <v>11.140185623091911</v>
      </c>
      <c r="M81" s="15">
        <f t="shared" si="9"/>
        <v>1522.0555980293132</v>
      </c>
      <c r="N81" s="24" t="str">
        <f t="shared" si="10"/>
        <v>Yes</v>
      </c>
      <c r="O81" s="24" t="str">
        <f t="shared" si="11"/>
        <v>Normal</v>
      </c>
    </row>
    <row r="82" spans="1:15">
      <c r="A82" s="23">
        <v>46174</v>
      </c>
      <c r="B82" s="18">
        <v>2026</v>
      </c>
      <c r="C82" s="18">
        <v>6</v>
      </c>
      <c r="D82" s="14" t="s">
        <v>26</v>
      </c>
      <c r="E82" s="14" t="s">
        <v>17</v>
      </c>
      <c r="F82" s="14" t="s">
        <v>35</v>
      </c>
      <c r="G82" s="14" t="s">
        <v>19</v>
      </c>
      <c r="H82" s="14" t="s">
        <v>36</v>
      </c>
      <c r="I82" s="18">
        <v>269</v>
      </c>
      <c r="J82" s="17">
        <v>49368.396973048963</v>
      </c>
      <c r="K82" s="16">
        <v>265402.27167439921</v>
      </c>
      <c r="L82" s="15">
        <f t="shared" si="8"/>
        <v>5.3759548202321978</v>
      </c>
      <c r="M82" s="15">
        <f t="shared" si="9"/>
        <v>986.62554525798964</v>
      </c>
      <c r="N82" s="24" t="str">
        <f t="shared" si="10"/>
        <v>No</v>
      </c>
      <c r="O82" s="24" t="str">
        <f t="shared" si="11"/>
        <v>Normal</v>
      </c>
    </row>
    <row r="83" spans="1:15">
      <c r="A83" s="23">
        <v>45778</v>
      </c>
      <c r="B83" s="18">
        <v>2025</v>
      </c>
      <c r="C83" s="18">
        <v>5</v>
      </c>
      <c r="D83" s="14" t="s">
        <v>25</v>
      </c>
      <c r="E83" s="14" t="s">
        <v>17</v>
      </c>
      <c r="F83" s="14" t="s">
        <v>37</v>
      </c>
      <c r="G83" s="14" t="s">
        <v>33</v>
      </c>
      <c r="H83" s="14" t="s">
        <v>20</v>
      </c>
      <c r="I83" s="18">
        <v>343</v>
      </c>
      <c r="J83" s="17">
        <v>2084.8644010599842</v>
      </c>
      <c r="K83" s="16">
        <v>130359.7563122001</v>
      </c>
      <c r="L83" s="15">
        <f t="shared" si="8"/>
        <v>62.526731352850938</v>
      </c>
      <c r="M83" s="15">
        <f t="shared" si="9"/>
        <v>380.05759857784284</v>
      </c>
      <c r="N83" s="24" t="str">
        <f t="shared" si="10"/>
        <v>No</v>
      </c>
      <c r="O83" s="24" t="str">
        <f t="shared" si="11"/>
        <v>Review</v>
      </c>
    </row>
    <row r="84" spans="1:15">
      <c r="A84" s="23">
        <v>45809</v>
      </c>
      <c r="B84" s="18">
        <v>2025</v>
      </c>
      <c r="C84" s="18">
        <v>6</v>
      </c>
      <c r="D84" s="14" t="s">
        <v>26</v>
      </c>
      <c r="E84" s="14" t="s">
        <v>17</v>
      </c>
      <c r="F84" s="14" t="s">
        <v>37</v>
      </c>
      <c r="G84" s="14" t="s">
        <v>33</v>
      </c>
      <c r="H84" s="14" t="s">
        <v>20</v>
      </c>
      <c r="I84" s="18">
        <v>343</v>
      </c>
      <c r="J84" s="17">
        <v>6289.9365369966999</v>
      </c>
      <c r="K84" s="16">
        <v>300318.06007690547</v>
      </c>
      <c r="L84" s="15">
        <f t="shared" si="8"/>
        <v>47.745801298704428</v>
      </c>
      <c r="M84" s="15">
        <f t="shared" si="9"/>
        <v>875.56285736707139</v>
      </c>
      <c r="N84" s="24" t="str">
        <f t="shared" si="10"/>
        <v>Yes</v>
      </c>
      <c r="O84" s="24" t="str">
        <f t="shared" si="11"/>
        <v>Normal</v>
      </c>
    </row>
    <row r="85" spans="1:15">
      <c r="A85" s="23">
        <v>45839</v>
      </c>
      <c r="B85" s="18">
        <v>2025</v>
      </c>
      <c r="C85" s="18">
        <v>7</v>
      </c>
      <c r="D85" s="14" t="s">
        <v>27</v>
      </c>
      <c r="E85" s="14" t="s">
        <v>17</v>
      </c>
      <c r="F85" s="14" t="s">
        <v>37</v>
      </c>
      <c r="G85" s="14" t="s">
        <v>33</v>
      </c>
      <c r="H85" s="14" t="s">
        <v>20</v>
      </c>
      <c r="I85" s="18">
        <v>343</v>
      </c>
      <c r="J85" s="17">
        <v>10722.08702539837</v>
      </c>
      <c r="K85" s="16">
        <v>343370.21984533372</v>
      </c>
      <c r="L85" s="15">
        <f t="shared" si="8"/>
        <v>32.024569380192666</v>
      </c>
      <c r="M85" s="15">
        <f t="shared" si="9"/>
        <v>1001.0793581496609</v>
      </c>
      <c r="N85" s="24" t="str">
        <f t="shared" si="10"/>
        <v>Yes</v>
      </c>
      <c r="O85" s="24" t="str">
        <f t="shared" si="11"/>
        <v>Normal</v>
      </c>
    </row>
    <row r="86" spans="1:15">
      <c r="A86" s="23">
        <v>45870</v>
      </c>
      <c r="B86" s="18">
        <v>2025</v>
      </c>
      <c r="C86" s="18">
        <v>8</v>
      </c>
      <c r="D86" s="14" t="s">
        <v>28</v>
      </c>
      <c r="E86" s="14" t="s">
        <v>17</v>
      </c>
      <c r="F86" s="14" t="s">
        <v>37</v>
      </c>
      <c r="G86" s="14" t="s">
        <v>33</v>
      </c>
      <c r="H86" s="14" t="s">
        <v>20</v>
      </c>
      <c r="I86" s="18">
        <v>343</v>
      </c>
      <c r="J86" s="17">
        <v>9509.8647399458023</v>
      </c>
      <c r="K86" s="16">
        <v>208213.08502029939</v>
      </c>
      <c r="L86" s="15">
        <f t="shared" si="8"/>
        <v>21.894431804661611</v>
      </c>
      <c r="M86" s="15">
        <f t="shared" si="9"/>
        <v>607.03523329533346</v>
      </c>
      <c r="N86" s="24" t="str">
        <f t="shared" si="10"/>
        <v>Yes</v>
      </c>
      <c r="O86" s="24" t="str">
        <f t="shared" si="11"/>
        <v>Normal</v>
      </c>
    </row>
    <row r="87" spans="1:15">
      <c r="A87" s="23">
        <v>45901</v>
      </c>
      <c r="B87" s="18">
        <v>2025</v>
      </c>
      <c r="C87" s="18">
        <v>9</v>
      </c>
      <c r="D87" s="14" t="s">
        <v>29</v>
      </c>
      <c r="E87" s="14" t="s">
        <v>17</v>
      </c>
      <c r="F87" s="14" t="s">
        <v>37</v>
      </c>
      <c r="G87" s="14" t="s">
        <v>33</v>
      </c>
      <c r="H87" s="14" t="s">
        <v>20</v>
      </c>
      <c r="I87" s="18">
        <v>343</v>
      </c>
      <c r="J87" s="17">
        <v>10732.71014367968</v>
      </c>
      <c r="K87" s="16">
        <v>222086.5002603351</v>
      </c>
      <c r="L87" s="15">
        <f t="shared" si="8"/>
        <v>20.692490273867897</v>
      </c>
      <c r="M87" s="15">
        <f t="shared" si="9"/>
        <v>647.48250804762415</v>
      </c>
      <c r="N87" s="24" t="str">
        <f t="shared" si="10"/>
        <v>Yes</v>
      </c>
      <c r="O87" s="24" t="str">
        <f t="shared" si="11"/>
        <v>Normal</v>
      </c>
    </row>
    <row r="88" spans="1:15">
      <c r="A88" s="23">
        <v>45931</v>
      </c>
      <c r="B88" s="18">
        <v>2025</v>
      </c>
      <c r="C88" s="18">
        <v>10</v>
      </c>
      <c r="D88" s="14" t="s">
        <v>30</v>
      </c>
      <c r="E88" s="14" t="s">
        <v>17</v>
      </c>
      <c r="F88" s="14" t="s">
        <v>37</v>
      </c>
      <c r="G88" s="14" t="s">
        <v>33</v>
      </c>
      <c r="H88" s="14" t="s">
        <v>20</v>
      </c>
      <c r="I88" s="18">
        <v>343</v>
      </c>
      <c r="J88" s="17">
        <v>8202.671586506538</v>
      </c>
      <c r="K88" s="16">
        <v>184686.958014398</v>
      </c>
      <c r="L88" s="15">
        <f t="shared" si="8"/>
        <v>22.515464146853027</v>
      </c>
      <c r="M88" s="15">
        <f t="shared" si="9"/>
        <v>538.44594173293876</v>
      </c>
      <c r="N88" s="24" t="str">
        <f t="shared" si="10"/>
        <v>Yes</v>
      </c>
      <c r="O88" s="24" t="str">
        <f t="shared" si="11"/>
        <v>Normal</v>
      </c>
    </row>
    <row r="89" spans="1:15">
      <c r="A89" s="23">
        <v>45962</v>
      </c>
      <c r="B89" s="18">
        <v>2025</v>
      </c>
      <c r="C89" s="18">
        <v>11</v>
      </c>
      <c r="D89" s="14" t="s">
        <v>31</v>
      </c>
      <c r="E89" s="14" t="s">
        <v>17</v>
      </c>
      <c r="F89" s="14" t="s">
        <v>37</v>
      </c>
      <c r="G89" s="14" t="s">
        <v>33</v>
      </c>
      <c r="H89" s="14" t="s">
        <v>20</v>
      </c>
      <c r="I89" s="18">
        <v>343</v>
      </c>
      <c r="J89" s="17">
        <v>8502.4807360852847</v>
      </c>
      <c r="K89" s="16">
        <v>106601.9026494147</v>
      </c>
      <c r="L89" s="15">
        <f t="shared" si="8"/>
        <v>12.537741155588479</v>
      </c>
      <c r="M89" s="15">
        <f t="shared" si="9"/>
        <v>310.79271909450347</v>
      </c>
      <c r="N89" s="24" t="str">
        <f t="shared" si="10"/>
        <v>Yes</v>
      </c>
      <c r="O89" s="24" t="str">
        <f t="shared" si="11"/>
        <v>Normal</v>
      </c>
    </row>
    <row r="90" spans="1:15">
      <c r="A90" s="23">
        <v>45992</v>
      </c>
      <c r="B90" s="18">
        <v>2025</v>
      </c>
      <c r="C90" s="18">
        <v>12</v>
      </c>
      <c r="D90" s="14" t="s">
        <v>16</v>
      </c>
      <c r="E90" s="14" t="s">
        <v>17</v>
      </c>
      <c r="F90" s="14" t="s">
        <v>37</v>
      </c>
      <c r="G90" s="14" t="s">
        <v>33</v>
      </c>
      <c r="H90" s="14" t="s">
        <v>20</v>
      </c>
      <c r="I90" s="18">
        <v>343</v>
      </c>
      <c r="J90" s="17">
        <v>10836.15039448453</v>
      </c>
      <c r="K90" s="16">
        <v>123666.112496635</v>
      </c>
      <c r="L90" s="15">
        <f t="shared" si="8"/>
        <v>11.412365830542511</v>
      </c>
      <c r="M90" s="15">
        <f t="shared" si="9"/>
        <v>360.54260203100586</v>
      </c>
      <c r="N90" s="24" t="str">
        <f t="shared" si="10"/>
        <v>Yes</v>
      </c>
      <c r="O90" s="24" t="str">
        <f t="shared" si="11"/>
        <v>Normal</v>
      </c>
    </row>
    <row r="91" spans="1:15">
      <c r="A91" s="23">
        <v>46023</v>
      </c>
      <c r="B91" s="18">
        <v>2026</v>
      </c>
      <c r="C91" s="18">
        <v>1</v>
      </c>
      <c r="D91" s="14" t="s">
        <v>21</v>
      </c>
      <c r="E91" s="14" t="s">
        <v>17</v>
      </c>
      <c r="F91" s="14" t="s">
        <v>37</v>
      </c>
      <c r="G91" s="14" t="s">
        <v>33</v>
      </c>
      <c r="H91" s="14" t="s">
        <v>20</v>
      </c>
      <c r="I91" s="18">
        <v>343</v>
      </c>
      <c r="J91" s="17">
        <v>8913.3100622820148</v>
      </c>
      <c r="K91" s="16">
        <v>107861.29538873149</v>
      </c>
      <c r="L91" s="15">
        <f t="shared" si="8"/>
        <v>12.10114925151796</v>
      </c>
      <c r="M91" s="15">
        <f t="shared" si="9"/>
        <v>314.46441804294898</v>
      </c>
      <c r="N91" s="24" t="str">
        <f t="shared" si="10"/>
        <v>Yes</v>
      </c>
      <c r="O91" s="24" t="str">
        <f t="shared" si="11"/>
        <v>Normal</v>
      </c>
    </row>
    <row r="92" spans="1:15">
      <c r="A92" s="23">
        <v>46054</v>
      </c>
      <c r="B92" s="18">
        <v>2026</v>
      </c>
      <c r="C92" s="18">
        <v>2</v>
      </c>
      <c r="D92" s="14" t="s">
        <v>22</v>
      </c>
      <c r="E92" s="14" t="s">
        <v>17</v>
      </c>
      <c r="F92" s="14" t="s">
        <v>37</v>
      </c>
      <c r="G92" s="14" t="s">
        <v>33</v>
      </c>
      <c r="H92" s="14" t="s">
        <v>20</v>
      </c>
      <c r="I92" s="18">
        <v>343</v>
      </c>
      <c r="J92" s="17">
        <v>9415.4520096415436</v>
      </c>
      <c r="K92" s="16">
        <v>177808.59448126581</v>
      </c>
      <c r="L92" s="15">
        <f t="shared" si="8"/>
        <v>18.884764565650968</v>
      </c>
      <c r="M92" s="15">
        <f t="shared" si="9"/>
        <v>518.39240373546886</v>
      </c>
      <c r="N92" s="24" t="str">
        <f t="shared" si="10"/>
        <v>Yes</v>
      </c>
      <c r="O92" s="24" t="str">
        <f t="shared" si="11"/>
        <v>Normal</v>
      </c>
    </row>
    <row r="93" spans="1:15">
      <c r="A93" s="23">
        <v>46082</v>
      </c>
      <c r="B93" s="18">
        <v>2026</v>
      </c>
      <c r="C93" s="18">
        <v>3</v>
      </c>
      <c r="D93" s="14" t="s">
        <v>23</v>
      </c>
      <c r="E93" s="14" t="s">
        <v>17</v>
      </c>
      <c r="F93" s="14" t="s">
        <v>37</v>
      </c>
      <c r="G93" s="14" t="s">
        <v>33</v>
      </c>
      <c r="H93" s="14" t="s">
        <v>20</v>
      </c>
      <c r="I93" s="18">
        <v>343</v>
      </c>
      <c r="J93" s="17">
        <v>7995.7764784599203</v>
      </c>
      <c r="K93" s="16">
        <v>146306.105610956</v>
      </c>
      <c r="L93" s="15">
        <f t="shared" si="8"/>
        <v>18.297923410577411</v>
      </c>
      <c r="M93" s="15">
        <f t="shared" si="9"/>
        <v>426.54841285993001</v>
      </c>
      <c r="N93" s="24" t="str">
        <f t="shared" si="10"/>
        <v>Yes</v>
      </c>
      <c r="O93" s="24" t="str">
        <f t="shared" si="11"/>
        <v>Normal</v>
      </c>
    </row>
    <row r="94" spans="1:15">
      <c r="A94" s="23">
        <v>46113</v>
      </c>
      <c r="B94" s="18">
        <v>2026</v>
      </c>
      <c r="C94" s="18">
        <v>4</v>
      </c>
      <c r="D94" s="14" t="s">
        <v>24</v>
      </c>
      <c r="E94" s="14" t="s">
        <v>17</v>
      </c>
      <c r="F94" s="14" t="s">
        <v>37</v>
      </c>
      <c r="G94" s="14" t="s">
        <v>33</v>
      </c>
      <c r="H94" s="14" t="s">
        <v>20</v>
      </c>
      <c r="I94" s="18">
        <v>343</v>
      </c>
      <c r="J94" s="17">
        <v>10265.464250630221</v>
      </c>
      <c r="K94" s="16">
        <v>150525.80629736491</v>
      </c>
      <c r="L94" s="15">
        <f t="shared" si="8"/>
        <v>14.663321854939369</v>
      </c>
      <c r="M94" s="15">
        <f t="shared" si="9"/>
        <v>438.85074722263823</v>
      </c>
      <c r="N94" s="24" t="str">
        <f t="shared" si="10"/>
        <v>Yes</v>
      </c>
      <c r="O94" s="24" t="str">
        <f t="shared" si="11"/>
        <v>Normal</v>
      </c>
    </row>
    <row r="95" spans="1:15">
      <c r="A95" s="23">
        <v>46143</v>
      </c>
      <c r="B95" s="18">
        <v>2026</v>
      </c>
      <c r="C95" s="18">
        <v>5</v>
      </c>
      <c r="D95" s="14" t="s">
        <v>25</v>
      </c>
      <c r="E95" s="14" t="s">
        <v>17</v>
      </c>
      <c r="F95" s="14" t="s">
        <v>37</v>
      </c>
      <c r="G95" s="14" t="s">
        <v>33</v>
      </c>
      <c r="H95" s="14" t="s">
        <v>20</v>
      </c>
      <c r="I95" s="18">
        <v>343</v>
      </c>
      <c r="J95" s="17">
        <v>10429.56904776316</v>
      </c>
      <c r="K95" s="16">
        <v>275125.95703608938</v>
      </c>
      <c r="L95" s="15">
        <f t="shared" si="8"/>
        <v>26.379417574793845</v>
      </c>
      <c r="M95" s="15">
        <f t="shared" si="9"/>
        <v>802.11649281658708</v>
      </c>
      <c r="N95" s="24" t="str">
        <f t="shared" si="10"/>
        <v>Yes</v>
      </c>
      <c r="O95" s="24" t="str">
        <f t="shared" si="11"/>
        <v>Normal</v>
      </c>
    </row>
    <row r="96" spans="1:15">
      <c r="A96" s="23">
        <v>45292</v>
      </c>
      <c r="B96" s="18">
        <v>2024</v>
      </c>
      <c r="C96" s="18">
        <v>1</v>
      </c>
      <c r="D96" s="14" t="s">
        <v>21</v>
      </c>
      <c r="E96" s="14" t="s">
        <v>17</v>
      </c>
      <c r="F96" s="14" t="s">
        <v>38</v>
      </c>
      <c r="G96" s="14" t="s">
        <v>33</v>
      </c>
      <c r="H96" s="14" t="s">
        <v>34</v>
      </c>
      <c r="I96" s="18">
        <v>300</v>
      </c>
      <c r="J96" s="17">
        <v>29433.736571933099</v>
      </c>
      <c r="K96" s="16">
        <v>283173.55100147292</v>
      </c>
      <c r="L96" s="15">
        <f t="shared" si="8"/>
        <v>9.6207136429798901</v>
      </c>
      <c r="M96" s="15">
        <f t="shared" si="9"/>
        <v>943.91183667157645</v>
      </c>
      <c r="N96" s="24" t="str">
        <f t="shared" si="10"/>
        <v>No</v>
      </c>
      <c r="O96" s="24" t="str">
        <f t="shared" si="11"/>
        <v>Normal</v>
      </c>
    </row>
    <row r="97" spans="1:15">
      <c r="A97" s="23">
        <v>45323</v>
      </c>
      <c r="B97" s="18">
        <v>2024</v>
      </c>
      <c r="C97" s="18">
        <v>2</v>
      </c>
      <c r="D97" s="14" t="s">
        <v>22</v>
      </c>
      <c r="E97" s="14" t="s">
        <v>17</v>
      </c>
      <c r="F97" s="14" t="s">
        <v>38</v>
      </c>
      <c r="G97" s="14" t="s">
        <v>33</v>
      </c>
      <c r="H97" s="14" t="s">
        <v>34</v>
      </c>
      <c r="I97" s="18">
        <v>300</v>
      </c>
      <c r="J97" s="17">
        <v>33870.636792874648</v>
      </c>
      <c r="K97" s="16">
        <v>317239.04022079671</v>
      </c>
      <c r="L97" s="15">
        <f t="shared" si="8"/>
        <v>9.3661965129493563</v>
      </c>
      <c r="M97" s="15">
        <f t="shared" si="9"/>
        <v>1057.4634674026556</v>
      </c>
      <c r="N97" s="24" t="str">
        <f t="shared" si="10"/>
        <v>No</v>
      </c>
      <c r="O97" s="24" t="str">
        <f t="shared" si="11"/>
        <v>Normal</v>
      </c>
    </row>
    <row r="98" spans="1:15">
      <c r="A98" s="23">
        <v>45352</v>
      </c>
      <c r="B98" s="18">
        <v>2024</v>
      </c>
      <c r="C98" s="18">
        <v>3</v>
      </c>
      <c r="D98" s="14" t="s">
        <v>23</v>
      </c>
      <c r="E98" s="14" t="s">
        <v>17</v>
      </c>
      <c r="F98" s="14" t="s">
        <v>38</v>
      </c>
      <c r="G98" s="14" t="s">
        <v>33</v>
      </c>
      <c r="H98" s="14" t="s">
        <v>34</v>
      </c>
      <c r="I98" s="18">
        <v>300</v>
      </c>
      <c r="J98" s="17">
        <v>25452.317442700649</v>
      </c>
      <c r="K98" s="16">
        <v>406520.30003956048</v>
      </c>
      <c r="L98" s="15">
        <f t="shared" si="8"/>
        <v>15.971838358323813</v>
      </c>
      <c r="M98" s="15">
        <f t="shared" si="9"/>
        <v>1355.0676667985349</v>
      </c>
      <c r="N98" s="24" t="str">
        <f t="shared" si="10"/>
        <v>No</v>
      </c>
      <c r="O98" s="24" t="str">
        <f t="shared" si="11"/>
        <v>Normal</v>
      </c>
    </row>
    <row r="99" spans="1:15">
      <c r="A99" s="23">
        <v>45383</v>
      </c>
      <c r="B99" s="18">
        <v>2024</v>
      </c>
      <c r="C99" s="18">
        <v>4</v>
      </c>
      <c r="D99" s="14" t="s">
        <v>24</v>
      </c>
      <c r="E99" s="14" t="s">
        <v>17</v>
      </c>
      <c r="F99" s="14" t="s">
        <v>38</v>
      </c>
      <c r="G99" s="14" t="s">
        <v>33</v>
      </c>
      <c r="H99" s="14" t="s">
        <v>34</v>
      </c>
      <c r="I99" s="18">
        <v>300</v>
      </c>
      <c r="J99" s="17">
        <v>32054.894688785611</v>
      </c>
      <c r="K99" s="16">
        <v>434253.38763066358</v>
      </c>
      <c r="L99" s="15">
        <f t="shared" si="8"/>
        <v>13.547178733442756</v>
      </c>
      <c r="M99" s="15">
        <f t="shared" si="9"/>
        <v>1447.5112921022119</v>
      </c>
      <c r="N99" s="24" t="str">
        <f t="shared" si="10"/>
        <v>No</v>
      </c>
      <c r="O99" s="24" t="str">
        <f t="shared" si="11"/>
        <v>Normal</v>
      </c>
    </row>
    <row r="100" spans="1:15">
      <c r="A100" s="23">
        <v>45413</v>
      </c>
      <c r="B100" s="18">
        <v>2024</v>
      </c>
      <c r="C100" s="18">
        <v>5</v>
      </c>
      <c r="D100" s="14" t="s">
        <v>25</v>
      </c>
      <c r="E100" s="14" t="s">
        <v>17</v>
      </c>
      <c r="F100" s="14" t="s">
        <v>38</v>
      </c>
      <c r="G100" s="14" t="s">
        <v>33</v>
      </c>
      <c r="H100" s="14" t="s">
        <v>34</v>
      </c>
      <c r="I100" s="18">
        <v>300</v>
      </c>
      <c r="J100" s="17">
        <v>33878.082144079468</v>
      </c>
      <c r="K100" s="16">
        <v>348854.70905609988</v>
      </c>
      <c r="L100" s="15">
        <f t="shared" ref="L100:L125" si="12">IFERROR(K100/J100,"")</f>
        <v>10.297357080972358</v>
      </c>
      <c r="M100" s="15">
        <f t="shared" ref="M100:M125" si="13">IFERROR(K100/I100,"")</f>
        <v>1162.8490301869997</v>
      </c>
      <c r="N100" s="24" t="str">
        <f t="shared" ref="N100:N125" si="14">IF(AND(A100&gt;=DATE(2025,6,1),A100&lt;=DATE(2026,5,1)),"Yes","No")</f>
        <v>No</v>
      </c>
      <c r="O100" s="24" t="str">
        <f t="shared" ref="O100:O125" si="15">IF(L100="","Check",IF(L100&gt;50,"Review","Normal"))</f>
        <v>Normal</v>
      </c>
    </row>
    <row r="101" spans="1:15">
      <c r="A101" s="23">
        <v>45444</v>
      </c>
      <c r="B101" s="18">
        <v>2024</v>
      </c>
      <c r="C101" s="18">
        <v>6</v>
      </c>
      <c r="D101" s="14" t="s">
        <v>26</v>
      </c>
      <c r="E101" s="14" t="s">
        <v>17</v>
      </c>
      <c r="F101" s="14" t="s">
        <v>38</v>
      </c>
      <c r="G101" s="14" t="s">
        <v>33</v>
      </c>
      <c r="H101" s="14" t="s">
        <v>34</v>
      </c>
      <c r="I101" s="18">
        <v>300</v>
      </c>
      <c r="J101" s="17">
        <v>45283.912536271913</v>
      </c>
      <c r="K101" s="16">
        <v>593538.51750699175</v>
      </c>
      <c r="L101" s="15">
        <f t="shared" si="12"/>
        <v>13.107050258335649</v>
      </c>
      <c r="M101" s="15">
        <f t="shared" si="13"/>
        <v>1978.4617250233059</v>
      </c>
      <c r="N101" s="24" t="str">
        <f t="shared" si="14"/>
        <v>No</v>
      </c>
      <c r="O101" s="24" t="str">
        <f t="shared" si="15"/>
        <v>Normal</v>
      </c>
    </row>
    <row r="102" spans="1:15">
      <c r="A102" s="23">
        <v>45474</v>
      </c>
      <c r="B102" s="18">
        <v>2024</v>
      </c>
      <c r="C102" s="18">
        <v>7</v>
      </c>
      <c r="D102" s="14" t="s">
        <v>27</v>
      </c>
      <c r="E102" s="14" t="s">
        <v>17</v>
      </c>
      <c r="F102" s="14" t="s">
        <v>38</v>
      </c>
      <c r="G102" s="14" t="s">
        <v>33</v>
      </c>
      <c r="H102" s="14" t="s">
        <v>34</v>
      </c>
      <c r="I102" s="18">
        <v>300</v>
      </c>
      <c r="J102" s="17">
        <v>37922.194377171123</v>
      </c>
      <c r="K102" s="16">
        <v>577074.15734839521</v>
      </c>
      <c r="L102" s="15">
        <f t="shared" si="12"/>
        <v>15.21731974708166</v>
      </c>
      <c r="M102" s="15">
        <f t="shared" si="13"/>
        <v>1923.5805244946507</v>
      </c>
      <c r="N102" s="24" t="str">
        <f t="shared" si="14"/>
        <v>No</v>
      </c>
      <c r="O102" s="24" t="str">
        <f t="shared" si="15"/>
        <v>Normal</v>
      </c>
    </row>
    <row r="103" spans="1:15">
      <c r="A103" s="23">
        <v>45505</v>
      </c>
      <c r="B103" s="18">
        <v>2024</v>
      </c>
      <c r="C103" s="18">
        <v>8</v>
      </c>
      <c r="D103" s="14" t="s">
        <v>28</v>
      </c>
      <c r="E103" s="14" t="s">
        <v>17</v>
      </c>
      <c r="F103" s="14" t="s">
        <v>38</v>
      </c>
      <c r="G103" s="14" t="s">
        <v>33</v>
      </c>
      <c r="H103" s="14" t="s">
        <v>34</v>
      </c>
      <c r="I103" s="18">
        <v>300</v>
      </c>
      <c r="J103" s="17">
        <v>38398.113162107067</v>
      </c>
      <c r="K103" s="16">
        <v>5161021.19537389</v>
      </c>
      <c r="L103" s="15">
        <f t="shared" si="12"/>
        <v>134.40819796497217</v>
      </c>
      <c r="M103" s="15">
        <f t="shared" si="13"/>
        <v>17203.403984579632</v>
      </c>
      <c r="N103" s="24" t="str">
        <f t="shared" si="14"/>
        <v>No</v>
      </c>
      <c r="O103" s="24" t="str">
        <f t="shared" si="15"/>
        <v>Review</v>
      </c>
    </row>
    <row r="104" spans="1:15">
      <c r="A104" s="23">
        <v>45536</v>
      </c>
      <c r="B104" s="18">
        <v>2024</v>
      </c>
      <c r="C104" s="18">
        <v>9</v>
      </c>
      <c r="D104" s="14" t="s">
        <v>29</v>
      </c>
      <c r="E104" s="14" t="s">
        <v>17</v>
      </c>
      <c r="F104" s="14" t="s">
        <v>38</v>
      </c>
      <c r="G104" s="14" t="s">
        <v>33</v>
      </c>
      <c r="H104" s="14" t="s">
        <v>34</v>
      </c>
      <c r="I104" s="18">
        <v>300</v>
      </c>
      <c r="J104" s="17">
        <v>44501.743627588483</v>
      </c>
      <c r="K104" s="16">
        <v>513874.15131606418</v>
      </c>
      <c r="L104" s="15">
        <f t="shared" si="12"/>
        <v>11.547281284445948</v>
      </c>
      <c r="M104" s="15">
        <f t="shared" si="13"/>
        <v>1712.9138377202139</v>
      </c>
      <c r="N104" s="24" t="str">
        <f t="shared" si="14"/>
        <v>No</v>
      </c>
      <c r="O104" s="24" t="str">
        <f t="shared" si="15"/>
        <v>Normal</v>
      </c>
    </row>
    <row r="105" spans="1:15">
      <c r="A105" s="23">
        <v>45566</v>
      </c>
      <c r="B105" s="18">
        <v>2024</v>
      </c>
      <c r="C105" s="18">
        <v>10</v>
      </c>
      <c r="D105" s="14" t="s">
        <v>30</v>
      </c>
      <c r="E105" s="14" t="s">
        <v>17</v>
      </c>
      <c r="F105" s="14" t="s">
        <v>38</v>
      </c>
      <c r="G105" s="14" t="s">
        <v>33</v>
      </c>
      <c r="H105" s="14" t="s">
        <v>34</v>
      </c>
      <c r="I105" s="18">
        <v>300</v>
      </c>
      <c r="J105" s="17">
        <v>39423.333731139151</v>
      </c>
      <c r="K105" s="16">
        <v>393650.66559234413</v>
      </c>
      <c r="L105" s="15">
        <f t="shared" si="12"/>
        <v>9.9852201307220465</v>
      </c>
      <c r="M105" s="15">
        <f t="shared" si="13"/>
        <v>1312.1688853078138</v>
      </c>
      <c r="N105" s="24" t="str">
        <f t="shared" si="14"/>
        <v>No</v>
      </c>
      <c r="O105" s="24" t="str">
        <f t="shared" si="15"/>
        <v>Normal</v>
      </c>
    </row>
    <row r="106" spans="1:15">
      <c r="A106" s="23">
        <v>45597</v>
      </c>
      <c r="B106" s="18">
        <v>2024</v>
      </c>
      <c r="C106" s="18">
        <v>11</v>
      </c>
      <c r="D106" s="14" t="s">
        <v>31</v>
      </c>
      <c r="E106" s="14" t="s">
        <v>17</v>
      </c>
      <c r="F106" s="14" t="s">
        <v>38</v>
      </c>
      <c r="G106" s="14" t="s">
        <v>33</v>
      </c>
      <c r="H106" s="14" t="s">
        <v>34</v>
      </c>
      <c r="I106" s="18">
        <v>300</v>
      </c>
      <c r="J106" s="17">
        <v>27129.84761342057</v>
      </c>
      <c r="K106" s="16">
        <v>352104.35312688979</v>
      </c>
      <c r="L106" s="15">
        <f t="shared" si="12"/>
        <v>12.978486209878714</v>
      </c>
      <c r="M106" s="15">
        <f t="shared" si="13"/>
        <v>1173.6811770896327</v>
      </c>
      <c r="N106" s="24" t="str">
        <f t="shared" si="14"/>
        <v>No</v>
      </c>
      <c r="O106" s="24" t="str">
        <f t="shared" si="15"/>
        <v>Normal</v>
      </c>
    </row>
    <row r="107" spans="1:15">
      <c r="A107" s="23">
        <v>45627</v>
      </c>
      <c r="B107" s="18">
        <v>2024</v>
      </c>
      <c r="C107" s="18">
        <v>12</v>
      </c>
      <c r="D107" s="14" t="s">
        <v>16</v>
      </c>
      <c r="E107" s="14" t="s">
        <v>17</v>
      </c>
      <c r="F107" s="14" t="s">
        <v>38</v>
      </c>
      <c r="G107" s="14" t="s">
        <v>33</v>
      </c>
      <c r="H107" s="14" t="s">
        <v>34</v>
      </c>
      <c r="I107" s="18">
        <v>300</v>
      </c>
      <c r="J107" s="17">
        <v>30912.306228432819</v>
      </c>
      <c r="K107" s="16">
        <v>495902.21166261763</v>
      </c>
      <c r="L107" s="15">
        <f t="shared" si="12"/>
        <v>16.042226290010415</v>
      </c>
      <c r="M107" s="15">
        <f t="shared" si="13"/>
        <v>1653.0073722087254</v>
      </c>
      <c r="N107" s="24" t="str">
        <f t="shared" si="14"/>
        <v>No</v>
      </c>
      <c r="O107" s="24" t="str">
        <f t="shared" si="15"/>
        <v>Normal</v>
      </c>
    </row>
    <row r="108" spans="1:15">
      <c r="A108" s="23">
        <v>45658</v>
      </c>
      <c r="B108" s="18">
        <v>2025</v>
      </c>
      <c r="C108" s="18">
        <v>1</v>
      </c>
      <c r="D108" s="14" t="s">
        <v>21</v>
      </c>
      <c r="E108" s="14" t="s">
        <v>17</v>
      </c>
      <c r="F108" s="14" t="s">
        <v>38</v>
      </c>
      <c r="G108" s="14" t="s">
        <v>33</v>
      </c>
      <c r="H108" s="14" t="s">
        <v>34</v>
      </c>
      <c r="I108" s="18">
        <v>300</v>
      </c>
      <c r="J108" s="17">
        <v>24750.49489542465</v>
      </c>
      <c r="K108" s="16">
        <v>340380.21117523243</v>
      </c>
      <c r="L108" s="15">
        <f t="shared" si="12"/>
        <v>13.752460813951432</v>
      </c>
      <c r="M108" s="15">
        <f t="shared" si="13"/>
        <v>1134.6007039174415</v>
      </c>
      <c r="N108" s="24" t="str">
        <f t="shared" si="14"/>
        <v>No</v>
      </c>
      <c r="O108" s="24" t="str">
        <f t="shared" si="15"/>
        <v>Normal</v>
      </c>
    </row>
    <row r="109" spans="1:15">
      <c r="A109" s="23">
        <v>45689</v>
      </c>
      <c r="B109" s="18">
        <v>2025</v>
      </c>
      <c r="C109" s="18">
        <v>2</v>
      </c>
      <c r="D109" s="14" t="s">
        <v>22</v>
      </c>
      <c r="E109" s="14" t="s">
        <v>17</v>
      </c>
      <c r="F109" s="14" t="s">
        <v>38</v>
      </c>
      <c r="G109" s="14" t="s">
        <v>33</v>
      </c>
      <c r="H109" s="14" t="s">
        <v>34</v>
      </c>
      <c r="I109" s="18">
        <v>300</v>
      </c>
      <c r="J109" s="17">
        <v>26229.900967579881</v>
      </c>
      <c r="K109" s="16">
        <v>252247.1158309473</v>
      </c>
      <c r="L109" s="15">
        <f t="shared" si="12"/>
        <v>9.6167772856910272</v>
      </c>
      <c r="M109" s="15">
        <f t="shared" si="13"/>
        <v>840.82371943649093</v>
      </c>
      <c r="N109" s="24" t="str">
        <f t="shared" si="14"/>
        <v>No</v>
      </c>
      <c r="O109" s="24" t="str">
        <f t="shared" si="15"/>
        <v>Normal</v>
      </c>
    </row>
    <row r="110" spans="1:15">
      <c r="A110" s="23">
        <v>45717</v>
      </c>
      <c r="B110" s="18">
        <v>2025</v>
      </c>
      <c r="C110" s="18">
        <v>3</v>
      </c>
      <c r="D110" s="14" t="s">
        <v>23</v>
      </c>
      <c r="E110" s="14" t="s">
        <v>17</v>
      </c>
      <c r="F110" s="14" t="s">
        <v>38</v>
      </c>
      <c r="G110" s="14" t="s">
        <v>33</v>
      </c>
      <c r="H110" s="14" t="s">
        <v>34</v>
      </c>
      <c r="I110" s="18">
        <v>300</v>
      </c>
      <c r="J110" s="17">
        <v>23377.560677201749</v>
      </c>
      <c r="K110" s="16">
        <v>300082.70451779012</v>
      </c>
      <c r="L110" s="15">
        <f t="shared" si="12"/>
        <v>12.836356566937996</v>
      </c>
      <c r="M110" s="15">
        <f t="shared" si="13"/>
        <v>1000.275681725967</v>
      </c>
      <c r="N110" s="24" t="str">
        <f t="shared" si="14"/>
        <v>No</v>
      </c>
      <c r="O110" s="24" t="str">
        <f t="shared" si="15"/>
        <v>Normal</v>
      </c>
    </row>
    <row r="111" spans="1:15">
      <c r="A111" s="23">
        <v>45748</v>
      </c>
      <c r="B111" s="18">
        <v>2025</v>
      </c>
      <c r="C111" s="18">
        <v>4</v>
      </c>
      <c r="D111" s="14" t="s">
        <v>24</v>
      </c>
      <c r="E111" s="14" t="s">
        <v>17</v>
      </c>
      <c r="F111" s="14" t="s">
        <v>38</v>
      </c>
      <c r="G111" s="14" t="s">
        <v>33</v>
      </c>
      <c r="H111" s="14" t="s">
        <v>34</v>
      </c>
      <c r="I111" s="18">
        <v>300</v>
      </c>
      <c r="J111" s="17">
        <v>36302.334606585348</v>
      </c>
      <c r="K111" s="16">
        <v>374099.2706148359</v>
      </c>
      <c r="L111" s="15">
        <f t="shared" si="12"/>
        <v>10.305102265984106</v>
      </c>
      <c r="M111" s="15">
        <f t="shared" si="13"/>
        <v>1246.9975687161198</v>
      </c>
      <c r="N111" s="24" t="str">
        <f t="shared" si="14"/>
        <v>No</v>
      </c>
      <c r="O111" s="24" t="str">
        <f t="shared" si="15"/>
        <v>Normal</v>
      </c>
    </row>
    <row r="112" spans="1:15">
      <c r="A112" s="23">
        <v>45778</v>
      </c>
      <c r="B112" s="18">
        <v>2025</v>
      </c>
      <c r="C112" s="18">
        <v>5</v>
      </c>
      <c r="D112" s="14" t="s">
        <v>25</v>
      </c>
      <c r="E112" s="14" t="s">
        <v>17</v>
      </c>
      <c r="F112" s="14" t="s">
        <v>38</v>
      </c>
      <c r="G112" s="14" t="s">
        <v>33</v>
      </c>
      <c r="H112" s="14" t="s">
        <v>34</v>
      </c>
      <c r="I112" s="18">
        <v>300</v>
      </c>
      <c r="J112" s="17">
        <v>27423.499882354459</v>
      </c>
      <c r="K112" s="16">
        <v>544318.31532599207</v>
      </c>
      <c r="L112" s="15">
        <f t="shared" si="12"/>
        <v>19.848608589753034</v>
      </c>
      <c r="M112" s="15">
        <f t="shared" si="13"/>
        <v>1814.3943844199734</v>
      </c>
      <c r="N112" s="24" t="str">
        <f t="shared" si="14"/>
        <v>No</v>
      </c>
      <c r="O112" s="24" t="str">
        <f t="shared" si="15"/>
        <v>Normal</v>
      </c>
    </row>
    <row r="113" spans="1:15">
      <c r="A113" s="23">
        <v>45809</v>
      </c>
      <c r="B113" s="18">
        <v>2025</v>
      </c>
      <c r="C113" s="18">
        <v>6</v>
      </c>
      <c r="D113" s="14" t="s">
        <v>26</v>
      </c>
      <c r="E113" s="14" t="s">
        <v>17</v>
      </c>
      <c r="F113" s="14" t="s">
        <v>38</v>
      </c>
      <c r="G113" s="14" t="s">
        <v>33</v>
      </c>
      <c r="H113" s="14" t="s">
        <v>34</v>
      </c>
      <c r="I113" s="18">
        <v>300</v>
      </c>
      <c r="J113" s="17">
        <v>35533.292715461219</v>
      </c>
      <c r="K113" s="16">
        <v>378073.99098538433</v>
      </c>
      <c r="L113" s="15">
        <f t="shared" si="12"/>
        <v>10.639993147071255</v>
      </c>
      <c r="M113" s="15">
        <f t="shared" si="13"/>
        <v>1260.2466366179478</v>
      </c>
      <c r="N113" s="24" t="str">
        <f t="shared" si="14"/>
        <v>Yes</v>
      </c>
      <c r="O113" s="24" t="str">
        <f t="shared" si="15"/>
        <v>Normal</v>
      </c>
    </row>
    <row r="114" spans="1:15">
      <c r="A114" s="23">
        <v>45839</v>
      </c>
      <c r="B114" s="18">
        <v>2025</v>
      </c>
      <c r="C114" s="18">
        <v>7</v>
      </c>
      <c r="D114" s="14" t="s">
        <v>27</v>
      </c>
      <c r="E114" s="14" t="s">
        <v>17</v>
      </c>
      <c r="F114" s="14" t="s">
        <v>38</v>
      </c>
      <c r="G114" s="14" t="s">
        <v>33</v>
      </c>
      <c r="H114" s="14" t="s">
        <v>34</v>
      </c>
      <c r="I114" s="18">
        <v>300</v>
      </c>
      <c r="J114" s="17">
        <v>38449.314515832302</v>
      </c>
      <c r="K114" s="16">
        <v>667405.99922401295</v>
      </c>
      <c r="L114" s="15">
        <f t="shared" si="12"/>
        <v>17.358072767440227</v>
      </c>
      <c r="M114" s="15">
        <f t="shared" si="13"/>
        <v>2224.6866640800431</v>
      </c>
      <c r="N114" s="24" t="str">
        <f t="shared" si="14"/>
        <v>Yes</v>
      </c>
      <c r="O114" s="24" t="str">
        <f t="shared" si="15"/>
        <v>Normal</v>
      </c>
    </row>
    <row r="115" spans="1:15">
      <c r="A115" s="23">
        <v>45870</v>
      </c>
      <c r="B115" s="18">
        <v>2025</v>
      </c>
      <c r="C115" s="18">
        <v>8</v>
      </c>
      <c r="D115" s="14" t="s">
        <v>28</v>
      </c>
      <c r="E115" s="14" t="s">
        <v>17</v>
      </c>
      <c r="F115" s="14" t="s">
        <v>38</v>
      </c>
      <c r="G115" s="14" t="s">
        <v>33</v>
      </c>
      <c r="H115" s="14" t="s">
        <v>34</v>
      </c>
      <c r="I115" s="18">
        <v>300</v>
      </c>
      <c r="J115" s="17">
        <v>42503.812730099358</v>
      </c>
      <c r="K115" s="16">
        <v>435838.27939024742</v>
      </c>
      <c r="L115" s="15">
        <f t="shared" si="12"/>
        <v>10.254098430129908</v>
      </c>
      <c r="M115" s="15">
        <f t="shared" si="13"/>
        <v>1452.794264634158</v>
      </c>
      <c r="N115" s="24" t="str">
        <f t="shared" si="14"/>
        <v>Yes</v>
      </c>
      <c r="O115" s="24" t="str">
        <f t="shared" si="15"/>
        <v>Normal</v>
      </c>
    </row>
    <row r="116" spans="1:15">
      <c r="A116" s="23">
        <v>45901</v>
      </c>
      <c r="B116" s="18">
        <v>2025</v>
      </c>
      <c r="C116" s="18">
        <v>9</v>
      </c>
      <c r="D116" s="14" t="s">
        <v>29</v>
      </c>
      <c r="E116" s="14" t="s">
        <v>17</v>
      </c>
      <c r="F116" s="14" t="s">
        <v>38</v>
      </c>
      <c r="G116" s="14" t="s">
        <v>33</v>
      </c>
      <c r="H116" s="14" t="s">
        <v>34</v>
      </c>
      <c r="I116" s="18">
        <v>300</v>
      </c>
      <c r="J116" s="17">
        <v>32185.790320447231</v>
      </c>
      <c r="K116" s="16">
        <v>433530.69464738149</v>
      </c>
      <c r="L116" s="15">
        <f t="shared" si="12"/>
        <v>13.469630241515768</v>
      </c>
      <c r="M116" s="15">
        <f t="shared" si="13"/>
        <v>1445.1023154912716</v>
      </c>
      <c r="N116" s="24" t="str">
        <f t="shared" si="14"/>
        <v>Yes</v>
      </c>
      <c r="O116" s="24" t="str">
        <f t="shared" si="15"/>
        <v>Normal</v>
      </c>
    </row>
    <row r="117" spans="1:15">
      <c r="A117" s="23">
        <v>45931</v>
      </c>
      <c r="B117" s="18">
        <v>2025</v>
      </c>
      <c r="C117" s="18">
        <v>10</v>
      </c>
      <c r="D117" s="14" t="s">
        <v>30</v>
      </c>
      <c r="E117" s="14" t="s">
        <v>17</v>
      </c>
      <c r="F117" s="14" t="s">
        <v>38</v>
      </c>
      <c r="G117" s="14" t="s">
        <v>33</v>
      </c>
      <c r="H117" s="14" t="s">
        <v>34</v>
      </c>
      <c r="I117" s="18">
        <v>300</v>
      </c>
      <c r="J117" s="17">
        <v>27045.4208207228</v>
      </c>
      <c r="K117" s="16">
        <v>550834.91810076998</v>
      </c>
      <c r="L117" s="15">
        <f t="shared" si="12"/>
        <v>20.367030772126427</v>
      </c>
      <c r="M117" s="15">
        <f t="shared" si="13"/>
        <v>1836.1163936692333</v>
      </c>
      <c r="N117" s="24" t="str">
        <f t="shared" si="14"/>
        <v>Yes</v>
      </c>
      <c r="O117" s="24" t="str">
        <f t="shared" si="15"/>
        <v>Normal</v>
      </c>
    </row>
    <row r="118" spans="1:15">
      <c r="A118" s="23">
        <v>45962</v>
      </c>
      <c r="B118" s="18">
        <v>2025</v>
      </c>
      <c r="C118" s="18">
        <v>11</v>
      </c>
      <c r="D118" s="14" t="s">
        <v>31</v>
      </c>
      <c r="E118" s="14" t="s">
        <v>17</v>
      </c>
      <c r="F118" s="14" t="s">
        <v>38</v>
      </c>
      <c r="G118" s="14" t="s">
        <v>33</v>
      </c>
      <c r="H118" s="14" t="s">
        <v>34</v>
      </c>
      <c r="I118" s="18">
        <v>300</v>
      </c>
      <c r="J118" s="17">
        <v>26218.287037480859</v>
      </c>
      <c r="K118" s="16">
        <v>436222.00234966632</v>
      </c>
      <c r="L118" s="15">
        <f t="shared" si="12"/>
        <v>16.638081722351149</v>
      </c>
      <c r="M118" s="15">
        <f t="shared" si="13"/>
        <v>1454.0733411655544</v>
      </c>
      <c r="N118" s="24" t="str">
        <f t="shared" si="14"/>
        <v>Yes</v>
      </c>
      <c r="O118" s="24" t="str">
        <f t="shared" si="15"/>
        <v>Normal</v>
      </c>
    </row>
    <row r="119" spans="1:15">
      <c r="A119" s="23">
        <v>45992</v>
      </c>
      <c r="B119" s="18">
        <v>2025</v>
      </c>
      <c r="C119" s="18">
        <v>12</v>
      </c>
      <c r="D119" s="14" t="s">
        <v>16</v>
      </c>
      <c r="E119" s="14" t="s">
        <v>17</v>
      </c>
      <c r="F119" s="14" t="s">
        <v>38</v>
      </c>
      <c r="G119" s="14" t="s">
        <v>33</v>
      </c>
      <c r="H119" s="14" t="s">
        <v>34</v>
      </c>
      <c r="I119" s="18">
        <v>300</v>
      </c>
      <c r="J119" s="17">
        <v>29893.869269980842</v>
      </c>
      <c r="K119" s="16">
        <v>393457.78963404242</v>
      </c>
      <c r="L119" s="15">
        <f t="shared" si="12"/>
        <v>13.161822114113185</v>
      </c>
      <c r="M119" s="15">
        <f t="shared" si="13"/>
        <v>1311.525965446808</v>
      </c>
      <c r="N119" s="24" t="str">
        <f t="shared" si="14"/>
        <v>Yes</v>
      </c>
      <c r="O119" s="24" t="str">
        <f t="shared" si="15"/>
        <v>Normal</v>
      </c>
    </row>
    <row r="120" spans="1:15">
      <c r="A120" s="23">
        <v>46023</v>
      </c>
      <c r="B120" s="18">
        <v>2026</v>
      </c>
      <c r="C120" s="18">
        <v>1</v>
      </c>
      <c r="D120" s="14" t="s">
        <v>21</v>
      </c>
      <c r="E120" s="14" t="s">
        <v>17</v>
      </c>
      <c r="F120" s="14" t="s">
        <v>38</v>
      </c>
      <c r="G120" s="14" t="s">
        <v>33</v>
      </c>
      <c r="H120" s="14" t="s">
        <v>34</v>
      </c>
      <c r="I120" s="18">
        <v>300</v>
      </c>
      <c r="J120" s="17">
        <v>4867.3197951695502</v>
      </c>
      <c r="K120" s="16">
        <v>170495.09039242531</v>
      </c>
      <c r="L120" s="15">
        <f t="shared" si="12"/>
        <v>35.028536765065013</v>
      </c>
      <c r="M120" s="15">
        <f t="shared" si="13"/>
        <v>568.31696797475104</v>
      </c>
      <c r="N120" s="24" t="str">
        <f t="shared" si="14"/>
        <v>Yes</v>
      </c>
      <c r="O120" s="24" t="str">
        <f t="shared" si="15"/>
        <v>Normal</v>
      </c>
    </row>
    <row r="121" spans="1:15">
      <c r="A121" s="23">
        <v>46054</v>
      </c>
      <c r="B121" s="18">
        <v>2026</v>
      </c>
      <c r="C121" s="18">
        <v>2</v>
      </c>
      <c r="D121" s="14" t="s">
        <v>22</v>
      </c>
      <c r="E121" s="14" t="s">
        <v>17</v>
      </c>
      <c r="F121" s="14" t="s">
        <v>38</v>
      </c>
      <c r="G121" s="14" t="s">
        <v>33</v>
      </c>
      <c r="H121" s="14" t="s">
        <v>34</v>
      </c>
      <c r="I121" s="18">
        <v>300</v>
      </c>
      <c r="J121" s="17">
        <v>4569.3312807672382</v>
      </c>
      <c r="K121" s="16">
        <v>59616.07059460842</v>
      </c>
      <c r="L121" s="15">
        <f t="shared" si="12"/>
        <v>13.047001176197989</v>
      </c>
      <c r="M121" s="15">
        <f t="shared" si="13"/>
        <v>198.72023531536141</v>
      </c>
      <c r="N121" s="24" t="str">
        <f t="shared" si="14"/>
        <v>Yes</v>
      </c>
      <c r="O121" s="24" t="str">
        <f t="shared" si="15"/>
        <v>Normal</v>
      </c>
    </row>
    <row r="122" spans="1:15">
      <c r="A122" s="23">
        <v>46082</v>
      </c>
      <c r="B122" s="18">
        <v>2026</v>
      </c>
      <c r="C122" s="18">
        <v>3</v>
      </c>
      <c r="D122" s="14" t="s">
        <v>23</v>
      </c>
      <c r="E122" s="14" t="s">
        <v>17</v>
      </c>
      <c r="F122" s="14" t="s">
        <v>38</v>
      </c>
      <c r="G122" s="14" t="s">
        <v>33</v>
      </c>
      <c r="H122" s="14" t="s">
        <v>34</v>
      </c>
      <c r="I122" s="18">
        <v>300</v>
      </c>
      <c r="J122" s="17">
        <v>28869.731413140231</v>
      </c>
      <c r="K122" s="16">
        <v>291707.19628539751</v>
      </c>
      <c r="L122" s="15">
        <f t="shared" si="12"/>
        <v>10.104257365990778</v>
      </c>
      <c r="M122" s="15">
        <f t="shared" si="13"/>
        <v>972.35732095132505</v>
      </c>
      <c r="N122" s="24" t="str">
        <f t="shared" si="14"/>
        <v>Yes</v>
      </c>
      <c r="O122" s="24" t="str">
        <f t="shared" si="15"/>
        <v>Normal</v>
      </c>
    </row>
    <row r="123" spans="1:15">
      <c r="A123" s="23">
        <v>46113</v>
      </c>
      <c r="B123" s="18">
        <v>2026</v>
      </c>
      <c r="C123" s="18">
        <v>4</v>
      </c>
      <c r="D123" s="14" t="s">
        <v>24</v>
      </c>
      <c r="E123" s="14" t="s">
        <v>17</v>
      </c>
      <c r="F123" s="14" t="s">
        <v>38</v>
      </c>
      <c r="G123" s="14" t="s">
        <v>33</v>
      </c>
      <c r="H123" s="14" t="s">
        <v>34</v>
      </c>
      <c r="I123" s="18">
        <v>300</v>
      </c>
      <c r="J123" s="17">
        <v>28258.61404704216</v>
      </c>
      <c r="K123" s="16">
        <v>375911.47355028288</v>
      </c>
      <c r="L123" s="15">
        <f t="shared" si="12"/>
        <v>13.302544594880077</v>
      </c>
      <c r="M123" s="15">
        <f t="shared" si="13"/>
        <v>1253.0382451676096</v>
      </c>
      <c r="N123" s="24" t="str">
        <f t="shared" si="14"/>
        <v>Yes</v>
      </c>
      <c r="O123" s="24" t="str">
        <f t="shared" si="15"/>
        <v>Normal</v>
      </c>
    </row>
    <row r="124" spans="1:15">
      <c r="A124" s="23">
        <v>46143</v>
      </c>
      <c r="B124" s="18">
        <v>2026</v>
      </c>
      <c r="C124" s="18">
        <v>5</v>
      </c>
      <c r="D124" s="14" t="s">
        <v>25</v>
      </c>
      <c r="E124" s="14" t="s">
        <v>17</v>
      </c>
      <c r="F124" s="14" t="s">
        <v>38</v>
      </c>
      <c r="G124" s="14" t="s">
        <v>33</v>
      </c>
      <c r="H124" s="14" t="s">
        <v>34</v>
      </c>
      <c r="I124" s="18">
        <v>300</v>
      </c>
      <c r="J124" s="17">
        <v>38786.127492100859</v>
      </c>
      <c r="K124" s="16">
        <v>447679.4392312743</v>
      </c>
      <c r="L124" s="15">
        <f t="shared" si="12"/>
        <v>11.542256682429773</v>
      </c>
      <c r="M124" s="15">
        <f t="shared" si="13"/>
        <v>1492.2647974375809</v>
      </c>
      <c r="N124" s="24" t="str">
        <f t="shared" si="14"/>
        <v>Yes</v>
      </c>
      <c r="O124" s="24" t="str">
        <f t="shared" si="15"/>
        <v>Normal</v>
      </c>
    </row>
    <row r="125" spans="1:15">
      <c r="A125" s="23">
        <v>46174</v>
      </c>
      <c r="B125" s="18">
        <v>2026</v>
      </c>
      <c r="C125" s="18">
        <v>6</v>
      </c>
      <c r="D125" s="14" t="s">
        <v>26</v>
      </c>
      <c r="E125" s="14" t="s">
        <v>17</v>
      </c>
      <c r="F125" s="14" t="s">
        <v>38</v>
      </c>
      <c r="G125" s="14" t="s">
        <v>33</v>
      </c>
      <c r="H125" s="14" t="s">
        <v>34</v>
      </c>
      <c r="I125" s="18">
        <v>300</v>
      </c>
      <c r="J125" s="17">
        <v>46790.244915708252</v>
      </c>
      <c r="K125" s="16">
        <v>551662.20393113128</v>
      </c>
      <c r="L125" s="15">
        <f t="shared" si="12"/>
        <v>11.790111484240795</v>
      </c>
      <c r="M125" s="15">
        <f t="shared" si="13"/>
        <v>1838.8740131037709</v>
      </c>
      <c r="N125" s="24" t="str">
        <f t="shared" si="14"/>
        <v>No</v>
      </c>
      <c r="O125" s="24" t="str">
        <f t="shared" si="15"/>
        <v>Normal</v>
      </c>
    </row>
  </sheetData>
  <mergeCells count="1">
    <mergeCell ref="A1:O1"/>
  </mergeCells>
  <conditionalFormatting sqref="A4:O125">
    <cfRule type="expression" dxfId="2" priority="1">
      <formula>$O4="Review"</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3"/>
  <sheetViews>
    <sheetView workbookViewId="0">
      <selection activeCell="H19" sqref="H19"/>
    </sheetView>
  </sheetViews>
  <sheetFormatPr defaultRowHeight="14.25"/>
  <cols>
    <col min="1" max="1" width="13" style="14" customWidth="1"/>
    <col min="2" max="4" width="14" style="14" customWidth="1"/>
    <col min="5" max="5" width="20" style="14" customWidth="1"/>
    <col min="6" max="16384" width="9" style="14"/>
  </cols>
  <sheetData>
    <row r="1" spans="1:5" ht="27.95" customHeight="1">
      <c r="A1" s="34" t="s">
        <v>39</v>
      </c>
      <c r="B1" s="34"/>
      <c r="C1" s="34"/>
      <c r="D1" s="34"/>
      <c r="E1" s="34"/>
    </row>
    <row r="3" spans="1:5" ht="33.950000000000003" customHeight="1">
      <c r="A3" s="11" t="s">
        <v>1</v>
      </c>
      <c r="B3" s="12" t="s">
        <v>2</v>
      </c>
      <c r="C3" s="12" t="s">
        <v>3</v>
      </c>
      <c r="D3" s="12" t="s">
        <v>4</v>
      </c>
      <c r="E3" s="13" t="s">
        <v>40</v>
      </c>
    </row>
    <row r="4" spans="1:5">
      <c r="A4" s="23">
        <v>45292</v>
      </c>
      <c r="B4" s="18">
        <v>2024</v>
      </c>
      <c r="C4" s="18">
        <v>1</v>
      </c>
      <c r="D4" s="14" t="s">
        <v>21</v>
      </c>
      <c r="E4" s="25">
        <v>895441</v>
      </c>
    </row>
    <row r="5" spans="1:5">
      <c r="A5" s="23">
        <v>45323</v>
      </c>
      <c r="B5" s="18">
        <v>2024</v>
      </c>
      <c r="C5" s="18">
        <v>2</v>
      </c>
      <c r="D5" s="14" t="s">
        <v>22</v>
      </c>
      <c r="E5" s="25">
        <v>948465</v>
      </c>
    </row>
    <row r="6" spans="1:5">
      <c r="A6" s="23">
        <v>45352</v>
      </c>
      <c r="B6" s="18">
        <v>2024</v>
      </c>
      <c r="C6" s="18">
        <v>3</v>
      </c>
      <c r="D6" s="14" t="s">
        <v>23</v>
      </c>
      <c r="E6" s="25">
        <v>1117311</v>
      </c>
    </row>
    <row r="7" spans="1:5">
      <c r="A7" s="23">
        <v>45383</v>
      </c>
      <c r="B7" s="18">
        <v>2024</v>
      </c>
      <c r="C7" s="18">
        <v>4</v>
      </c>
      <c r="D7" s="14" t="s">
        <v>24</v>
      </c>
      <c r="E7" s="25">
        <v>1284638</v>
      </c>
    </row>
    <row r="8" spans="1:5">
      <c r="A8" s="23">
        <v>45413</v>
      </c>
      <c r="B8" s="18">
        <v>2024</v>
      </c>
      <c r="C8" s="18">
        <v>5</v>
      </c>
      <c r="D8" s="14" t="s">
        <v>25</v>
      </c>
      <c r="E8" s="25">
        <v>1495297</v>
      </c>
    </row>
    <row r="9" spans="1:5">
      <c r="A9" s="23">
        <v>45444</v>
      </c>
      <c r="B9" s="18">
        <v>2024</v>
      </c>
      <c r="C9" s="18">
        <v>6</v>
      </c>
      <c r="D9" s="14" t="s">
        <v>26</v>
      </c>
      <c r="E9" s="25">
        <v>1561422</v>
      </c>
    </row>
    <row r="10" spans="1:5">
      <c r="A10" s="23">
        <v>45474</v>
      </c>
      <c r="B10" s="18">
        <v>2024</v>
      </c>
      <c r="C10" s="18">
        <v>7</v>
      </c>
      <c r="D10" s="14" t="s">
        <v>27</v>
      </c>
      <c r="E10" s="25">
        <v>1628915</v>
      </c>
    </row>
    <row r="11" spans="1:5">
      <c r="A11" s="23">
        <v>45505</v>
      </c>
      <c r="B11" s="18">
        <v>2024</v>
      </c>
      <c r="C11" s="18">
        <v>8</v>
      </c>
      <c r="D11" s="14" t="s">
        <v>28</v>
      </c>
      <c r="E11" s="25">
        <v>1618153</v>
      </c>
    </row>
    <row r="12" spans="1:5">
      <c r="A12" s="23">
        <v>45536</v>
      </c>
      <c r="B12" s="18">
        <v>2024</v>
      </c>
      <c r="C12" s="18">
        <v>9</v>
      </c>
      <c r="D12" s="14" t="s">
        <v>29</v>
      </c>
      <c r="E12" s="25">
        <v>1529718</v>
      </c>
    </row>
    <row r="13" spans="1:5">
      <c r="A13" s="23">
        <v>45566</v>
      </c>
      <c r="B13" s="18">
        <v>2024</v>
      </c>
      <c r="C13" s="18">
        <v>10</v>
      </c>
      <c r="D13" s="14" t="s">
        <v>30</v>
      </c>
      <c r="E13" s="25">
        <v>1468168</v>
      </c>
    </row>
    <row r="14" spans="1:5">
      <c r="A14" s="23">
        <v>45597</v>
      </c>
      <c r="B14" s="18">
        <v>2024</v>
      </c>
      <c r="C14" s="18">
        <v>11</v>
      </c>
      <c r="D14" s="14" t="s">
        <v>31</v>
      </c>
      <c r="E14" s="25">
        <v>1091165</v>
      </c>
    </row>
    <row r="15" spans="1:5">
      <c r="A15" s="23">
        <v>45627</v>
      </c>
      <c r="B15" s="18">
        <v>2024</v>
      </c>
      <c r="C15" s="18">
        <v>12</v>
      </c>
      <c r="D15" s="14" t="s">
        <v>16</v>
      </c>
      <c r="E15" s="25">
        <v>1153914</v>
      </c>
    </row>
    <row r="16" spans="1:5">
      <c r="A16" s="23">
        <v>45658</v>
      </c>
      <c r="B16" s="18">
        <v>2025</v>
      </c>
      <c r="C16" s="18">
        <v>1</v>
      </c>
      <c r="D16" s="14" t="s">
        <v>21</v>
      </c>
      <c r="E16" s="25">
        <v>950595</v>
      </c>
    </row>
    <row r="17" spans="1:5">
      <c r="A17" s="23">
        <v>45689</v>
      </c>
      <c r="B17" s="18">
        <v>2025</v>
      </c>
      <c r="C17" s="18">
        <v>2</v>
      </c>
      <c r="D17" s="14" t="s">
        <v>22</v>
      </c>
      <c r="E17" s="25">
        <v>1016868</v>
      </c>
    </row>
    <row r="18" spans="1:5">
      <c r="A18" s="23">
        <v>45717</v>
      </c>
      <c r="B18" s="18">
        <v>2025</v>
      </c>
      <c r="C18" s="18">
        <v>3</v>
      </c>
      <c r="D18" s="14" t="s">
        <v>23</v>
      </c>
      <c r="E18" s="25">
        <v>1191178</v>
      </c>
    </row>
    <row r="19" spans="1:5">
      <c r="A19" s="23">
        <v>45748</v>
      </c>
      <c r="B19" s="18">
        <v>2025</v>
      </c>
      <c r="C19" s="18">
        <v>4</v>
      </c>
      <c r="D19" s="14" t="s">
        <v>24</v>
      </c>
      <c r="E19" s="25">
        <v>1393786</v>
      </c>
    </row>
    <row r="20" spans="1:5">
      <c r="A20" s="23">
        <v>45778</v>
      </c>
      <c r="B20" s="18">
        <v>2025</v>
      </c>
      <c r="C20" s="18">
        <v>5</v>
      </c>
      <c r="D20" s="14" t="s">
        <v>25</v>
      </c>
      <c r="E20" s="25">
        <v>1576429</v>
      </c>
    </row>
    <row r="21" spans="1:5">
      <c r="A21" s="23">
        <v>45809</v>
      </c>
      <c r="B21" s="18">
        <v>2025</v>
      </c>
      <c r="C21" s="18">
        <v>6</v>
      </c>
      <c r="D21" s="14" t="s">
        <v>26</v>
      </c>
      <c r="E21" s="25">
        <v>1643722</v>
      </c>
    </row>
    <row r="22" spans="1:5">
      <c r="A22" s="23">
        <v>45839</v>
      </c>
      <c r="B22" s="18">
        <v>2025</v>
      </c>
      <c r="C22" s="18">
        <v>7</v>
      </c>
      <c r="D22" s="14" t="s">
        <v>27</v>
      </c>
      <c r="E22" s="25">
        <v>1783169</v>
      </c>
    </row>
    <row r="23" spans="1:5">
      <c r="A23" s="23">
        <v>45870</v>
      </c>
      <c r="B23" s="18">
        <v>2025</v>
      </c>
      <c r="C23" s="18">
        <v>8</v>
      </c>
      <c r="D23" s="14" t="s">
        <v>28</v>
      </c>
      <c r="E23" s="25">
        <v>1770479</v>
      </c>
    </row>
    <row r="24" spans="1:5">
      <c r="A24" s="23">
        <v>45901</v>
      </c>
      <c r="B24" s="18">
        <v>2025</v>
      </c>
      <c r="C24" s="18">
        <v>9</v>
      </c>
      <c r="D24" s="14" t="s">
        <v>29</v>
      </c>
      <c r="E24" s="25">
        <v>1628996</v>
      </c>
    </row>
    <row r="25" spans="1:5">
      <c r="A25" s="23">
        <v>45931</v>
      </c>
      <c r="B25" s="18">
        <v>2025</v>
      </c>
      <c r="C25" s="18">
        <v>10</v>
      </c>
      <c r="D25" s="14" t="s">
        <v>30</v>
      </c>
      <c r="E25" s="25">
        <v>1609903</v>
      </c>
    </row>
    <row r="26" spans="1:5">
      <c r="A26" s="23">
        <v>45962</v>
      </c>
      <c r="B26" s="18">
        <v>2025</v>
      </c>
      <c r="C26" s="18">
        <v>11</v>
      </c>
      <c r="D26" s="14" t="s">
        <v>31</v>
      </c>
      <c r="E26" s="25">
        <v>1193998</v>
      </c>
    </row>
    <row r="27" spans="1:5">
      <c r="A27" s="23">
        <v>45992</v>
      </c>
      <c r="B27" s="18">
        <v>2025</v>
      </c>
      <c r="C27" s="18">
        <v>12</v>
      </c>
      <c r="D27" s="14" t="s">
        <v>16</v>
      </c>
      <c r="E27" s="25">
        <v>1222096</v>
      </c>
    </row>
    <row r="28" spans="1:5">
      <c r="A28" s="23">
        <v>46023</v>
      </c>
      <c r="B28" s="18">
        <v>2026</v>
      </c>
      <c r="C28" s="18">
        <v>1</v>
      </c>
      <c r="D28" s="14" t="s">
        <v>21</v>
      </c>
      <c r="E28" s="25">
        <v>1017320</v>
      </c>
    </row>
    <row r="29" spans="1:5">
      <c r="A29" s="23">
        <v>46054</v>
      </c>
      <c r="B29" s="18">
        <v>2026</v>
      </c>
      <c r="C29" s="18">
        <v>2</v>
      </c>
      <c r="D29" s="14" t="s">
        <v>22</v>
      </c>
      <c r="E29" s="25">
        <v>1071937</v>
      </c>
    </row>
    <row r="30" spans="1:5">
      <c r="A30" s="23">
        <v>46082</v>
      </c>
      <c r="B30" s="18">
        <v>2026</v>
      </c>
      <c r="C30" s="18">
        <v>3</v>
      </c>
      <c r="D30" s="14" t="s">
        <v>23</v>
      </c>
      <c r="E30" s="25">
        <v>1274309</v>
      </c>
    </row>
    <row r="31" spans="1:5">
      <c r="A31" s="23">
        <v>46113</v>
      </c>
      <c r="B31" s="18">
        <v>2026</v>
      </c>
      <c r="C31" s="18">
        <v>4</v>
      </c>
      <c r="D31" s="14" t="s">
        <v>24</v>
      </c>
      <c r="E31" s="25">
        <v>1465123</v>
      </c>
    </row>
    <row r="32" spans="1:5">
      <c r="A32" s="23">
        <v>46143</v>
      </c>
      <c r="B32" s="18">
        <v>2026</v>
      </c>
      <c r="C32" s="18">
        <v>5</v>
      </c>
      <c r="D32" s="14" t="s">
        <v>25</v>
      </c>
      <c r="E32" s="25">
        <v>1655765</v>
      </c>
    </row>
    <row r="33" spans="1:5">
      <c r="A33" s="23">
        <v>46174</v>
      </c>
      <c r="B33" s="18">
        <v>2026</v>
      </c>
      <c r="C33" s="18">
        <v>6</v>
      </c>
      <c r="D33" s="14" t="s">
        <v>26</v>
      </c>
      <c r="E33" s="25">
        <v>1709032</v>
      </c>
    </row>
  </sheetData>
  <mergeCells count="1">
    <mergeCell ref="A1:E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9"/>
  <sheetViews>
    <sheetView tabSelected="1" workbookViewId="0">
      <selection activeCell="B7" sqref="B7"/>
    </sheetView>
  </sheetViews>
  <sheetFormatPr defaultRowHeight="14.25"/>
  <cols>
    <col min="1" max="1" width="30.625" bestFit="1" customWidth="1"/>
    <col min="2" max="2" width="13.5" bestFit="1" customWidth="1"/>
    <col min="3" max="3" width="14.25" bestFit="1" customWidth="1"/>
    <col min="4" max="4" width="11.875" bestFit="1" customWidth="1"/>
    <col min="5" max="5" width="13.5" bestFit="1" customWidth="1"/>
    <col min="6" max="6" width="23" bestFit="1" customWidth="1"/>
    <col min="7" max="7" width="16.75" bestFit="1" customWidth="1"/>
    <col min="8" max="8" width="18" bestFit="1" customWidth="1"/>
    <col min="9" max="9" width="20.625" bestFit="1" customWidth="1"/>
    <col min="10" max="10" width="23.375" bestFit="1" customWidth="1"/>
    <col min="11" max="11" width="19" customWidth="1"/>
    <col min="12" max="12" width="15.625" bestFit="1" customWidth="1"/>
    <col min="13" max="13" width="15.125" bestFit="1" customWidth="1"/>
    <col min="14" max="14" width="13.5" bestFit="1" customWidth="1"/>
    <col min="15" max="15" width="16.875" bestFit="1" customWidth="1"/>
    <col min="16" max="16" width="15.375" bestFit="1" customWidth="1"/>
    <col min="17" max="17" width="13.75" bestFit="1" customWidth="1"/>
    <col min="18" max="18" width="17.875" bestFit="1" customWidth="1"/>
  </cols>
  <sheetData>
    <row r="1" spans="1:18" ht="30" customHeight="1">
      <c r="A1" s="34" t="s">
        <v>41</v>
      </c>
      <c r="B1" s="34"/>
      <c r="C1" s="34"/>
      <c r="D1" s="34"/>
      <c r="E1" s="34"/>
      <c r="F1" s="34"/>
      <c r="G1" s="34"/>
      <c r="H1" s="34"/>
      <c r="I1" s="34"/>
      <c r="J1" s="34"/>
      <c r="K1" s="34"/>
      <c r="L1" s="34"/>
      <c r="M1" s="34"/>
      <c r="N1" s="34"/>
      <c r="O1" s="34"/>
    </row>
    <row r="2" spans="1:18">
      <c r="A2" s="35" t="s">
        <v>42</v>
      </c>
      <c r="B2" s="35"/>
      <c r="C2" s="35"/>
      <c r="D2" s="35"/>
      <c r="E2" s="35"/>
      <c r="F2" s="35"/>
      <c r="G2" s="35"/>
      <c r="H2" s="35"/>
      <c r="I2" s="35"/>
      <c r="J2" s="35"/>
      <c r="K2" s="35"/>
      <c r="L2" s="35"/>
      <c r="M2" s="35"/>
      <c r="N2" s="35"/>
      <c r="O2" s="35"/>
    </row>
    <row r="4" spans="1:18" ht="15.75">
      <c r="A4" s="33" t="s">
        <v>43</v>
      </c>
      <c r="B4" s="33"/>
      <c r="K4" s="33" t="s">
        <v>44</v>
      </c>
      <c r="L4" s="33"/>
      <c r="M4" s="33"/>
      <c r="N4" s="33"/>
      <c r="O4" s="33"/>
      <c r="P4" s="33"/>
      <c r="Q4" s="33"/>
      <c r="R4" s="33"/>
    </row>
    <row r="5" spans="1:18" ht="30">
      <c r="A5" t="s">
        <v>45</v>
      </c>
      <c r="B5" s="26">
        <v>2025</v>
      </c>
      <c r="K5" s="1" t="s">
        <v>46</v>
      </c>
      <c r="L5" s="2" t="s">
        <v>47</v>
      </c>
      <c r="M5" s="2" t="s">
        <v>48</v>
      </c>
      <c r="N5" s="2" t="s">
        <v>49</v>
      </c>
      <c r="O5" s="2" t="s">
        <v>50</v>
      </c>
      <c r="P5" s="2" t="s">
        <v>51</v>
      </c>
      <c r="Q5" s="2" t="s">
        <v>52</v>
      </c>
      <c r="R5" s="3" t="s">
        <v>53</v>
      </c>
    </row>
    <row r="6" spans="1:18">
      <c r="A6" t="s">
        <v>54</v>
      </c>
      <c r="B6" s="27">
        <v>46357</v>
      </c>
      <c r="K6" t="s">
        <v>18</v>
      </c>
      <c r="L6" s="7">
        <f>SUMIFS(Retail_Data!$K:$K,Retail_Data!$F:$F,$K6,Retail_Data!$A:$A,"&gt;="&amp;DATE($B$5,1,1),Retail_Data!$A:$A,"&lt;="&amp;$B$6)</f>
        <v>5645014.6025456879</v>
      </c>
      <c r="M6" s="7">
        <f>SUMIFS(Retail_Data!$K:$K,Retail_Data!$F:$F,$K6,Retail_Data!$A:$A,"&gt;="&amp;DATE($B$5-1,1,1),Retail_Data!$A:$A,"&lt;="&amp;EDATE($B$6,-12))</f>
        <v>4145621.8700840068</v>
      </c>
      <c r="N6" s="8">
        <f>IFERROR(L6/M6-1,"")</f>
        <v>0.36168101661218266</v>
      </c>
      <c r="O6" s="9">
        <f>SUMIFS(Retail_Data!$J:$J,Retail_Data!$F:$F,$K6,Retail_Data!$A:$A,"&gt;="&amp;DATE($B$5,1,1),Retail_Data!$A:$A,"&lt;="&amp;$B$6)</f>
        <v>341977.28805814456</v>
      </c>
      <c r="P6" s="7">
        <f>IFERROR(L6/O6,"")</f>
        <v>16.506986866291239</v>
      </c>
      <c r="Q6" s="7" t="str">
        <f ca="1">IFERROR(L6/_xludf.MAXIFS(Retail_Data!$I:$I,Retail_Data!$F:$F,$K6),"")</f>
        <v/>
      </c>
      <c r="R6" s="8">
        <f>IFERROR(L6/$B$11,"")</f>
        <v>0.12919371693080686</v>
      </c>
    </row>
    <row r="7" spans="1:18">
      <c r="A7" t="s">
        <v>55</v>
      </c>
      <c r="B7" s="26" t="s">
        <v>38</v>
      </c>
      <c r="K7" t="s">
        <v>32</v>
      </c>
      <c r="L7" s="7">
        <f>SUMIFS(Retail_Data!$K:$K,Retail_Data!$F:$F,$K7,Retail_Data!$A:$A,"&gt;="&amp;DATE($B$5,1,1),Retail_Data!$A:$A,"&lt;="&amp;$B$6)</f>
        <v>23332270.8694764</v>
      </c>
      <c r="M7" s="7">
        <f>SUMIFS(Retail_Data!$K:$K,Retail_Data!$F:$F,$K7,Retail_Data!$A:$A,"&gt;="&amp;DATE($B$5-1,1,1),Retail_Data!$A:$A,"&lt;="&amp;EDATE($B$6,-12))</f>
        <v>29211238.532751337</v>
      </c>
      <c r="N7" s="8">
        <f>IFERROR(L7/M7-1,"")</f>
        <v>-0.20125704894996144</v>
      </c>
      <c r="O7" s="9">
        <f>SUMIFS(Retail_Data!$J:$J,Retail_Data!$F:$F,$K7,Retail_Data!$A:$A,"&gt;="&amp;DATE($B$5,1,1),Retail_Data!$A:$A,"&lt;="&amp;$B$6)</f>
        <v>1624831.6705844768</v>
      </c>
      <c r="P7" s="7">
        <f>IFERROR(L7/O7,"")</f>
        <v>14.359808029273227</v>
      </c>
      <c r="Q7" s="7" t="str">
        <f ca="1">IFERROR(L7/_xludf.MAXIFS(Retail_Data!$I:$I,Retail_Data!$F:$F,$K7),"")</f>
        <v/>
      </c>
      <c r="R7" s="8">
        <f>IFERROR(L7/$B$11,"")</f>
        <v>0.53399025694365299</v>
      </c>
    </row>
    <row r="8" spans="1:18">
      <c r="K8" t="s">
        <v>35</v>
      </c>
      <c r="L8" s="7">
        <f>SUMIFS(Retail_Data!$K:$K,Retail_Data!$F:$F,$K8,Retail_Data!$A:$A,"&gt;="&amp;DATE($B$5,1,1),Retail_Data!$A:$A,"&lt;="&amp;$B$6)</f>
        <v>5236409.7690354614</v>
      </c>
      <c r="M8" s="7">
        <f>SUMIFS(Retail_Data!$K:$K,Retail_Data!$F:$F,$K8,Retail_Data!$A:$A,"&gt;="&amp;DATE($B$5-1,1,1),Retail_Data!$A:$A,"&lt;="&amp;EDATE($B$6,-12))</f>
        <v>5806943.8609990627</v>
      </c>
      <c r="N8" s="8">
        <f>IFERROR(L8/M8-1,"")</f>
        <v>-9.8250319896401206E-2</v>
      </c>
      <c r="O8" s="9">
        <f>SUMIFS(Retail_Data!$J:$J,Retail_Data!$F:$F,$K8,Retail_Data!$A:$A,"&gt;="&amp;DATE($B$5,1,1),Retail_Data!$A:$A,"&lt;="&amp;$B$6)</f>
        <v>695671.52236252662</v>
      </c>
      <c r="P8" s="7">
        <f>IFERROR(L8/O8,"")</f>
        <v>7.5271296879487277</v>
      </c>
      <c r="Q8" s="7" t="str">
        <f ca="1">IFERROR(L8/_xludf.MAXIFS(Retail_Data!$I:$I,Retail_Data!$F:$F,$K8),"")</f>
        <v/>
      </c>
      <c r="R8" s="8">
        <f>IFERROR(L8/$B$11,"")</f>
        <v>0.11984224826086334</v>
      </c>
    </row>
    <row r="9" spans="1:18" ht="15.75">
      <c r="A9" s="33" t="s">
        <v>56</v>
      </c>
      <c r="B9" s="33"/>
      <c r="C9" s="33"/>
      <c r="D9" s="33"/>
      <c r="F9" s="33" t="s">
        <v>57</v>
      </c>
      <c r="G9" s="33"/>
      <c r="H9" s="33"/>
      <c r="I9" s="33"/>
      <c r="K9" t="s">
        <v>37</v>
      </c>
      <c r="L9" s="7">
        <f>SUMIFS(Retail_Data!$K:$K,Retail_Data!$F:$F,$K9,Retail_Data!$A:$A,"&gt;="&amp;DATE($B$5,1,1),Retail_Data!$A:$A,"&lt;="&amp;$B$6)</f>
        <v>2476930.3534899289</v>
      </c>
      <c r="M9" s="7">
        <f>SUMIFS(Retail_Data!$K:$K,Retail_Data!$F:$F,$K9,Retail_Data!$A:$A,"&gt;="&amp;DATE($B$5-1,1,1),Retail_Data!$A:$A,"&lt;="&amp;EDATE($B$6,-12))</f>
        <v>1619302.5946755214</v>
      </c>
      <c r="N9" s="8">
        <f>IFERROR(L9/M9-1,"")</f>
        <v>0.52962785438274462</v>
      </c>
      <c r="O9" s="9">
        <f>SUMIFS(Retail_Data!$J:$J,Retail_Data!$F:$F,$K9,Retail_Data!$A:$A,"&gt;="&amp;DATE($B$5,1,1),Retail_Data!$A:$A,"&lt;="&amp;$B$6)</f>
        <v>113900.33741293375</v>
      </c>
      <c r="P9" s="7">
        <f>IFERROR(L9/O9,"")</f>
        <v>21.746470728265511</v>
      </c>
      <c r="Q9" s="7" t="str">
        <f ca="1">IFERROR(L9/_xludf.MAXIFS(Retail_Data!$I:$I,Retail_Data!$F:$F,$K9),"")</f>
        <v/>
      </c>
      <c r="R9" s="8">
        <f>IFERROR(L9/$B$11,"")</f>
        <v>5.6687867344362874E-2</v>
      </c>
    </row>
    <row r="10" spans="1:18" ht="15">
      <c r="A10" s="1" t="s">
        <v>58</v>
      </c>
      <c r="B10" s="2" t="s">
        <v>59</v>
      </c>
      <c r="C10" s="2" t="s">
        <v>60</v>
      </c>
      <c r="D10" s="3" t="s">
        <v>61</v>
      </c>
      <c r="F10" s="1" t="s">
        <v>58</v>
      </c>
      <c r="G10" s="2" t="s">
        <v>59</v>
      </c>
      <c r="H10" s="2" t="s">
        <v>60</v>
      </c>
      <c r="I10" s="3" t="s">
        <v>61</v>
      </c>
      <c r="K10" t="s">
        <v>38</v>
      </c>
      <c r="L10" s="7">
        <f>SUMIFS(Retail_Data!$K:$K,Retail_Data!$F:$F,$K10,Retail_Data!$A:$A,"&gt;="&amp;DATE($B$5,1,1),Retail_Data!$A:$A,"&lt;="&amp;$B$6)</f>
        <v>7003562.765781424</v>
      </c>
      <c r="M10" s="7">
        <f>SUMIFS(Retail_Data!$K:$K,Retail_Data!$F:$F,$K10,Retail_Data!$A:$A,"&gt;="&amp;DATE($B$5-1,1,1),Retail_Data!$A:$A,"&lt;="&amp;EDATE($B$6,-12))</f>
        <v>14983697.531672087</v>
      </c>
      <c r="N10" s="8">
        <f>IFERROR(L10/M10-1,"")</f>
        <v>-0.53258781746111028</v>
      </c>
      <c r="O10" s="9">
        <f>SUMIFS(Retail_Data!$J:$J,Retail_Data!$F:$F,$K10,Retail_Data!$A:$A,"&gt;="&amp;DATE($B$5,1,1),Retail_Data!$A:$A,"&lt;="&amp;$B$6)</f>
        <v>522054.94738309906</v>
      </c>
      <c r="P10" s="7">
        <f>IFERROR(L10/O10,"")</f>
        <v>13.415374762538178</v>
      </c>
      <c r="Q10" s="7" t="str">
        <f ca="1">IFERROR(L10/_xludf.MAXIFS(Retail_Data!$I:$I,Retail_Data!$F:$F,$K10),"")</f>
        <v/>
      </c>
      <c r="R10" s="8">
        <f>IFERROR(L10/$B$11,"")</f>
        <v>0.16028591052031402</v>
      </c>
    </row>
    <row r="11" spans="1:18">
      <c r="A11" t="s">
        <v>62</v>
      </c>
      <c r="B11" s="7">
        <f>SUMIFS(Retail_Data!$K:$K,Retail_Data!$A:$A,"&gt;="&amp;DATE($B$5,1,1),Retail_Data!$A:$A,"&lt;="&amp;$B$6)</f>
        <v>43694188.360328898</v>
      </c>
      <c r="C11" s="7">
        <f>SUMIFS(Retail_Data!$K:$K,Retail_Data!$A:$A,"&gt;="&amp;DATE($B$5-1,1,1),Retail_Data!$A:$A,"&lt;="&amp;EDATE($B$6,-12))</f>
        <v>55766804.390182018</v>
      </c>
      <c r="D11" s="8">
        <f>IFERROR(B11/C11-1,"")</f>
        <v>-0.21648391299929959</v>
      </c>
      <c r="F11" t="s">
        <v>62</v>
      </c>
      <c r="G11" s="7">
        <f>SUMIFS(Retail_Data!$K:$K,Retail_Data!$F:$F,$B$7,Retail_Data!$A:$A,"&gt;="&amp;DATE($B$5,1,1),Retail_Data!$A:$A,"&lt;="&amp;$B$6)</f>
        <v>7003562.765781424</v>
      </c>
      <c r="H11" s="7">
        <f>SUMIFS(Retail_Data!$K:$K,Retail_Data!$F:$F,$B$7,Retail_Data!$A:$A,"&gt;="&amp;DATE($B$5-1,1,1),Retail_Data!$A:$A,"&lt;="&amp;EDATE($B$6,-12))</f>
        <v>14983697.531672087</v>
      </c>
      <c r="I11" s="8">
        <f>IFERROR(G11/H11-1,"")</f>
        <v>-0.53258781746111028</v>
      </c>
    </row>
    <row r="12" spans="1:18">
      <c r="A12" t="s">
        <v>63</v>
      </c>
      <c r="B12" s="9">
        <f>SUMIFS(Retail_Data!$J:$J,Retail_Data!$A:$A,"&gt;="&amp;DATE($B$5,1,1),Retail_Data!$A:$A,"&lt;="&amp;$B$6)</f>
        <v>3298435.7658011816</v>
      </c>
      <c r="C12" s="9">
        <f>SUMIFS(Retail_Data!$J:$J,Retail_Data!$A:$A,"&gt;="&amp;DATE($B$5-1,1,1),Retail_Data!$A:$A,"&lt;="&amp;EDATE($B$6,-12))</f>
        <v>3963822.3421154674</v>
      </c>
      <c r="D12" s="8">
        <f>IFERROR(B12/C12-1,"")</f>
        <v>-0.16786488366155516</v>
      </c>
      <c r="F12" t="s">
        <v>63</v>
      </c>
      <c r="G12" s="9">
        <f>SUMIFS(Retail_Data!$J:$J,Retail_Data!$F:$F,$B$7,Retail_Data!$A:$A,"&gt;="&amp;DATE($B$5,1,1),Retail_Data!$A:$A,"&lt;="&amp;$B$6)</f>
        <v>522054.94738309906</v>
      </c>
      <c r="H12" s="9">
        <f>SUMIFS(Retail_Data!$J:$J,Retail_Data!$F:$F,$B$7,Retail_Data!$A:$A,"&gt;="&amp;DATE($B$5-1,1,1),Retail_Data!$A:$A,"&lt;="&amp;EDATE($B$6,-12))</f>
        <v>788174.69735567505</v>
      </c>
      <c r="I12" s="8">
        <f>IFERROR(G12/H12-1,"")</f>
        <v>-0.33764056479535232</v>
      </c>
    </row>
    <row r="13" spans="1:18">
      <c r="A13" t="s">
        <v>64</v>
      </c>
      <c r="B13" s="9">
        <f>SUMIFS(Passenger_Data!$E:$E,Passenger_Data!$A:$A,"&gt;="&amp;DATE($B$5,1,1),Passenger_Data!$A:$A,"&lt;="&amp;$B$6)</f>
        <v>25174705</v>
      </c>
      <c r="C13" s="9">
        <f>SUMIFS(Passenger_Data!$E:$E,Passenger_Data!$A:$A,"&gt;="&amp;DATE($B$5-1,1,1),Passenger_Data!$A:$A,"&lt;="&amp;EDATE($B$6,-12))</f>
        <v>32773826</v>
      </c>
      <c r="D13" s="8">
        <f>IFERROR(B13/C13-1,"")</f>
        <v>-0.2318655441693015</v>
      </c>
      <c r="F13" t="s">
        <v>65</v>
      </c>
      <c r="G13" s="7">
        <f>IFERROR(G11/G12,"")</f>
        <v>13.415374762538178</v>
      </c>
      <c r="H13" s="7">
        <f>IFERROR(H11/H12,"")</f>
        <v>19.010629980818173</v>
      </c>
      <c r="I13" s="8">
        <f>IFERROR(G13/H13-1,"")</f>
        <v>-0.29432245138249691</v>
      </c>
    </row>
    <row r="14" spans="1:18">
      <c r="A14" t="s">
        <v>65</v>
      </c>
      <c r="B14" s="7">
        <f>IFERROR(B11/B12,"")</f>
        <v>13.246942327438562</v>
      </c>
      <c r="C14" s="7">
        <f>IFERROR(C11/C12,"")</f>
        <v>14.068946480689046</v>
      </c>
      <c r="D14" s="8">
        <f>IFERROR(B14/C14-1,"")</f>
        <v>-5.8426844851443671E-2</v>
      </c>
      <c r="F14" t="s">
        <v>66</v>
      </c>
      <c r="G14" s="7" t="str">
        <f ca="1">IFERROR(G11/_xludf.MAXIFS(Retail_Data!$I:$I,Retail_Data!$F:$F,$B$7),"")</f>
        <v/>
      </c>
      <c r="H14" s="7" t="str">
        <f ca="1">IFERROR(H11/_xludf.MAXIFS(Retail_Data!$I:$I,Retail_Data!$F:$F,$B$7),"")</f>
        <v/>
      </c>
      <c r="I14" s="8" t="str">
        <f ca="1">IFERROR(G14/H14-1,"")</f>
        <v/>
      </c>
    </row>
    <row r="15" spans="1:18">
      <c r="A15" t="s">
        <v>67</v>
      </c>
      <c r="B15" s="9">
        <f>IFERROR((B12/B13)*1000,"")</f>
        <v>131.02182392211472</v>
      </c>
      <c r="C15" s="9">
        <f>IFERROR((C12/C13)*1000,"")</f>
        <v>120.94475457688301</v>
      </c>
      <c r="D15" s="8">
        <f>IFERROR(B15/C15-1,"")</f>
        <v>8.3319606381323741E-2</v>
      </c>
      <c r="F15" t="s">
        <v>68</v>
      </c>
      <c r="G15" s="8">
        <f>IFERROR(G11/$B$11,"")</f>
        <v>0.16028591052031402</v>
      </c>
      <c r="H15" s="8">
        <f>IFERROR(H11/$C$11,"")</f>
        <v>0.2686848869236988</v>
      </c>
      <c r="I15" s="8">
        <f>IFERROR(G15/H15-1,"")</f>
        <v>-0.40344277508309556</v>
      </c>
    </row>
    <row r="18" spans="1:15" ht="15.75">
      <c r="A18" s="33" t="s">
        <v>69</v>
      </c>
      <c r="B18" s="33"/>
      <c r="C18" s="33"/>
      <c r="D18" s="33"/>
      <c r="E18" s="33"/>
      <c r="F18" s="33"/>
      <c r="G18" s="33"/>
      <c r="H18" s="33"/>
      <c r="I18" s="33"/>
      <c r="J18" s="33"/>
      <c r="K18" s="33"/>
      <c r="L18" s="33"/>
      <c r="M18" s="33"/>
      <c r="N18" s="33"/>
      <c r="O18" s="33"/>
    </row>
    <row r="19" spans="1:15" ht="30">
      <c r="A19" s="1" t="s">
        <v>1</v>
      </c>
      <c r="B19" s="2" t="s">
        <v>2</v>
      </c>
      <c r="C19" s="2" t="s">
        <v>3</v>
      </c>
      <c r="D19" s="2" t="s">
        <v>4</v>
      </c>
      <c r="E19" s="2" t="s">
        <v>70</v>
      </c>
      <c r="F19" s="2" t="s">
        <v>11</v>
      </c>
      <c r="G19" s="2" t="s">
        <v>71</v>
      </c>
      <c r="H19" s="2" t="s">
        <v>40</v>
      </c>
      <c r="I19" s="2" t="s">
        <v>12</v>
      </c>
      <c r="J19" s="2" t="s">
        <v>72</v>
      </c>
      <c r="K19" s="2" t="s">
        <v>73</v>
      </c>
      <c r="L19" s="2" t="s">
        <v>74</v>
      </c>
      <c r="M19" s="2" t="s">
        <v>75</v>
      </c>
      <c r="N19" s="2" t="s">
        <v>76</v>
      </c>
      <c r="O19" s="3" t="s">
        <v>77</v>
      </c>
    </row>
    <row r="20" spans="1:15">
      <c r="A20" s="5">
        <v>45292</v>
      </c>
      <c r="B20" s="6">
        <v>2024</v>
      </c>
      <c r="C20" s="6">
        <v>1</v>
      </c>
      <c r="D20" t="s">
        <v>21</v>
      </c>
      <c r="E20" s="10">
        <f>COUNTIF(Retail_Data!$A:$A,A20)</f>
        <v>3</v>
      </c>
      <c r="F20" s="7">
        <f>SUMIF(Retail_Data!$A:$A,A20,Retail_Data!$K:$K)</f>
        <v>1285199.1045179663</v>
      </c>
      <c r="G20" s="9">
        <f>SUMIF(Retail_Data!$A:$A,A20,Retail_Data!$J:$J)</f>
        <v>108130.43515965928</v>
      </c>
      <c r="H20" s="9">
        <f>SUMIF(Passenger_Data!$A:$A,A20,Passenger_Data!$E:$E)</f>
        <v>895441</v>
      </c>
      <c r="I20" s="7">
        <f t="shared" ref="I20:I49" si="0">IFERROR(F20/G20,"")</f>
        <v>11.885637032906731</v>
      </c>
      <c r="J20" s="7">
        <f t="shared" ref="J20:J49" si="1">IFERROR((F20/H20)*1000,"")</f>
        <v>1435.2694421161934</v>
      </c>
      <c r="K20" s="9">
        <f t="shared" ref="K20:K49" si="2">IFERROR((G20/H20)*1000,"")</f>
        <v>120.7566273597694</v>
      </c>
      <c r="L20" s="7">
        <f>SUMIF(Retail_Data!$A:$A,EDATE(A20,-12),Retail_Data!$K:$K)</f>
        <v>0</v>
      </c>
      <c r="M20" s="8" t="str">
        <f t="shared" ref="M20:M49" si="3">IFERROR(F20/L20-1,"")</f>
        <v/>
      </c>
      <c r="N20" s="7">
        <f>SUMIFS(Retail_Data!$K:$K,Retail_Data!$A:$A,"&gt;="&amp;DATE(B20,1,1),Retail_Data!$A:$A,"&lt;="&amp;A20)</f>
        <v>1285199.1045179663</v>
      </c>
      <c r="O20" s="8" t="str">
        <f>IFERROR(N20/SUMIFS(Retail_Data!$K:$K,Retail_Data!$A:$A,"&gt;="&amp;DATE(B20-1,1,1),Retail_Data!$A:$A,"&lt;="&amp;EDATE(A20,-12))-1,"")</f>
        <v/>
      </c>
    </row>
    <row r="21" spans="1:15">
      <c r="A21" s="5">
        <v>45323</v>
      </c>
      <c r="B21" s="6">
        <v>2024</v>
      </c>
      <c r="C21" s="6">
        <v>2</v>
      </c>
      <c r="D21" t="s">
        <v>22</v>
      </c>
      <c r="E21" s="10">
        <f>COUNTIF(Retail_Data!$A:$A,A21)</f>
        <v>3</v>
      </c>
      <c r="F21" s="7">
        <f>SUMIF(Retail_Data!$A:$A,A21,Retail_Data!$K:$K)</f>
        <v>1191468.211179046</v>
      </c>
      <c r="G21" s="9">
        <f>SUMIF(Retail_Data!$A:$A,A21,Retail_Data!$J:$J)</f>
        <v>97993.858075089345</v>
      </c>
      <c r="H21" s="9">
        <f>SUMIF(Passenger_Data!$A:$A,A21,Passenger_Data!$E:$E)</f>
        <v>948465</v>
      </c>
      <c r="I21" s="7">
        <f t="shared" si="0"/>
        <v>12.158600901967393</v>
      </c>
      <c r="J21" s="7">
        <f t="shared" si="1"/>
        <v>1256.2068301719578</v>
      </c>
      <c r="K21" s="9">
        <f t="shared" si="2"/>
        <v>103.31837028787498</v>
      </c>
      <c r="L21" s="7">
        <f>SUMIF(Retail_Data!$A:$A,EDATE(A21,-12),Retail_Data!$K:$K)</f>
        <v>0</v>
      </c>
      <c r="M21" s="8" t="str">
        <f t="shared" si="3"/>
        <v/>
      </c>
      <c r="N21" s="7">
        <f>SUMIFS(Retail_Data!$K:$K,Retail_Data!$A:$A,"&gt;="&amp;DATE(B21,1,1),Retail_Data!$A:$A,"&lt;="&amp;A21)</f>
        <v>2476667.315697012</v>
      </c>
      <c r="O21" s="8" t="str">
        <f>IFERROR(N21/SUMIFS(Retail_Data!$K:$K,Retail_Data!$A:$A,"&gt;="&amp;DATE(B21-1,1,1),Retail_Data!$A:$A,"&lt;="&amp;EDATE(A21,-12))-1,"")</f>
        <v/>
      </c>
    </row>
    <row r="22" spans="1:15">
      <c r="A22" s="5">
        <v>45352</v>
      </c>
      <c r="B22" s="6">
        <v>2024</v>
      </c>
      <c r="C22" s="6">
        <v>3</v>
      </c>
      <c r="D22" t="s">
        <v>23</v>
      </c>
      <c r="E22" s="10">
        <f>COUNTIF(Retail_Data!$A:$A,A22)</f>
        <v>3</v>
      </c>
      <c r="F22" s="7">
        <f>SUMIF(Retail_Data!$A:$A,A22,Retail_Data!$K:$K)</f>
        <v>1320726.6384934895</v>
      </c>
      <c r="G22" s="9">
        <f>SUMIF(Retail_Data!$A:$A,A22,Retail_Data!$J:$J)</f>
        <v>109682.84840922522</v>
      </c>
      <c r="H22" s="9">
        <f>SUMIF(Passenger_Data!$A:$A,A22,Passenger_Data!$E:$E)</f>
        <v>1117311</v>
      </c>
      <c r="I22" s="7">
        <f t="shared" si="0"/>
        <v>12.041323303037101</v>
      </c>
      <c r="J22" s="7">
        <f t="shared" si="1"/>
        <v>1182.0582080490476</v>
      </c>
      <c r="K22" s="9">
        <f t="shared" si="2"/>
        <v>98.166802626328035</v>
      </c>
      <c r="L22" s="7">
        <f>SUMIF(Retail_Data!$A:$A,EDATE(A22,-12),Retail_Data!$K:$K)</f>
        <v>0</v>
      </c>
      <c r="M22" s="8" t="str">
        <f t="shared" si="3"/>
        <v/>
      </c>
      <c r="N22" s="7">
        <f>SUMIFS(Retail_Data!$K:$K,Retail_Data!$A:$A,"&gt;="&amp;DATE(B22,1,1),Retail_Data!$A:$A,"&lt;="&amp;A22)</f>
        <v>3797393.954190501</v>
      </c>
      <c r="O22" s="8" t="str">
        <f>IFERROR(N22/SUMIFS(Retail_Data!$K:$K,Retail_Data!$A:$A,"&gt;="&amp;DATE(B22-1,1,1),Retail_Data!$A:$A,"&lt;="&amp;EDATE(A22,-12))-1,"")</f>
        <v/>
      </c>
    </row>
    <row r="23" spans="1:15">
      <c r="A23" s="5">
        <v>45383</v>
      </c>
      <c r="B23" s="6">
        <v>2024</v>
      </c>
      <c r="C23" s="6">
        <v>4</v>
      </c>
      <c r="D23" t="s">
        <v>24</v>
      </c>
      <c r="E23" s="10">
        <f>COUNTIF(Retail_Data!$A:$A,A23)</f>
        <v>3</v>
      </c>
      <c r="F23" s="7">
        <f>SUMIF(Retail_Data!$A:$A,A23,Retail_Data!$K:$K)</f>
        <v>1632518.7966034752</v>
      </c>
      <c r="G23" s="9">
        <f>SUMIF(Retail_Data!$A:$A,A23,Retail_Data!$J:$J)</f>
        <v>143500.11935154875</v>
      </c>
      <c r="H23" s="9">
        <f>SUMIF(Passenger_Data!$A:$A,A23,Passenger_Data!$E:$E)</f>
        <v>1284638</v>
      </c>
      <c r="I23" s="7">
        <f t="shared" si="0"/>
        <v>11.376428145011547</v>
      </c>
      <c r="J23" s="7">
        <f t="shared" si="1"/>
        <v>1270.8006431410834</v>
      </c>
      <c r="K23" s="9">
        <f t="shared" si="2"/>
        <v>111.70471319667389</v>
      </c>
      <c r="L23" s="7">
        <f>SUMIF(Retail_Data!$A:$A,EDATE(A23,-12),Retail_Data!$K:$K)</f>
        <v>0</v>
      </c>
      <c r="M23" s="8" t="str">
        <f t="shared" si="3"/>
        <v/>
      </c>
      <c r="N23" s="7">
        <f>SUMIFS(Retail_Data!$K:$K,Retail_Data!$A:$A,"&gt;="&amp;DATE(B23,1,1),Retail_Data!$A:$A,"&lt;="&amp;A23)</f>
        <v>5429912.7507939776</v>
      </c>
      <c r="O23" s="8" t="str">
        <f>IFERROR(N23/SUMIFS(Retail_Data!$K:$K,Retail_Data!$A:$A,"&gt;="&amp;DATE(B23-1,1,1),Retail_Data!$A:$A,"&lt;="&amp;EDATE(A23,-12))-1,"")</f>
        <v/>
      </c>
    </row>
    <row r="24" spans="1:15">
      <c r="A24" s="5">
        <v>45413</v>
      </c>
      <c r="B24" s="6">
        <v>2024</v>
      </c>
      <c r="C24" s="6">
        <v>5</v>
      </c>
      <c r="D24" t="s">
        <v>25</v>
      </c>
      <c r="E24" s="10">
        <f>COUNTIF(Retail_Data!$A:$A,A24)</f>
        <v>3</v>
      </c>
      <c r="F24" s="7">
        <f>SUMIF(Retail_Data!$A:$A,A24,Retail_Data!$K:$K)</f>
        <v>2066828.9161224479</v>
      </c>
      <c r="G24" s="9">
        <f>SUMIF(Retail_Data!$A:$A,A24,Retail_Data!$J:$J)</f>
        <v>199121.3493808097</v>
      </c>
      <c r="H24" s="9">
        <f>SUMIF(Passenger_Data!$A:$A,A24,Passenger_Data!$E:$E)</f>
        <v>1495297</v>
      </c>
      <c r="I24" s="7">
        <f t="shared" si="0"/>
        <v>10.379745429354942</v>
      </c>
      <c r="J24" s="7">
        <f t="shared" si="1"/>
        <v>1382.2196634664872</v>
      </c>
      <c r="K24" s="9">
        <f t="shared" si="2"/>
        <v>133.16508317799722</v>
      </c>
      <c r="L24" s="7">
        <f>SUMIF(Retail_Data!$A:$A,EDATE(A24,-12),Retail_Data!$K:$K)</f>
        <v>0</v>
      </c>
      <c r="M24" s="8" t="str">
        <f t="shared" si="3"/>
        <v/>
      </c>
      <c r="N24" s="7">
        <f>SUMIFS(Retail_Data!$K:$K,Retail_Data!$A:$A,"&gt;="&amp;DATE(B24,1,1),Retail_Data!$A:$A,"&lt;="&amp;A24)</f>
        <v>7496741.6669164263</v>
      </c>
      <c r="O24" s="8" t="str">
        <f>IFERROR(N24/SUMIFS(Retail_Data!$K:$K,Retail_Data!$A:$A,"&gt;="&amp;DATE(B24-1,1,1),Retail_Data!$A:$A,"&lt;="&amp;EDATE(A24,-12))-1,"")</f>
        <v/>
      </c>
    </row>
    <row r="25" spans="1:15">
      <c r="A25" s="5">
        <v>45444</v>
      </c>
      <c r="B25" s="6">
        <v>2024</v>
      </c>
      <c r="C25" s="6">
        <v>6</v>
      </c>
      <c r="D25" t="s">
        <v>26</v>
      </c>
      <c r="E25" s="10">
        <f>COUNTIF(Retail_Data!$A:$A,A25)</f>
        <v>3</v>
      </c>
      <c r="F25" s="7">
        <f>SUMIF(Retail_Data!$A:$A,A25,Retail_Data!$K:$K)</f>
        <v>2551417.6581885014</v>
      </c>
      <c r="G25" s="9">
        <f>SUMIF(Retail_Data!$A:$A,A25,Retail_Data!$J:$J)</f>
        <v>165114.41506486572</v>
      </c>
      <c r="H25" s="9">
        <f>SUMIF(Passenger_Data!$A:$A,A25,Passenger_Data!$E:$E)</f>
        <v>1561422</v>
      </c>
      <c r="I25" s="7">
        <f t="shared" si="0"/>
        <v>15.452422232099897</v>
      </c>
      <c r="J25" s="7">
        <f t="shared" si="1"/>
        <v>1634.0346544294248</v>
      </c>
      <c r="K25" s="9">
        <f t="shared" si="2"/>
        <v>105.74618204743223</v>
      </c>
      <c r="L25" s="7">
        <f>SUMIF(Retail_Data!$A:$A,EDATE(A25,-12),Retail_Data!$K:$K)</f>
        <v>0</v>
      </c>
      <c r="M25" s="8" t="str">
        <f t="shared" si="3"/>
        <v/>
      </c>
      <c r="N25" s="7">
        <f>SUMIFS(Retail_Data!$K:$K,Retail_Data!$A:$A,"&gt;="&amp;DATE(B25,1,1),Retail_Data!$A:$A,"&lt;="&amp;A25)</f>
        <v>10048159.325104928</v>
      </c>
      <c r="O25" s="8" t="str">
        <f>IFERROR(N25/SUMIFS(Retail_Data!$K:$K,Retail_Data!$A:$A,"&gt;="&amp;DATE(B25-1,1,1),Retail_Data!$A:$A,"&lt;="&amp;EDATE(A25,-12))-1,"")</f>
        <v/>
      </c>
    </row>
    <row r="26" spans="1:15">
      <c r="A26" s="5">
        <v>45474</v>
      </c>
      <c r="B26" s="6">
        <v>2024</v>
      </c>
      <c r="C26" s="6">
        <v>7</v>
      </c>
      <c r="D26" t="s">
        <v>27</v>
      </c>
      <c r="E26" s="10">
        <f>COUNTIF(Retail_Data!$A:$A,A26)</f>
        <v>3</v>
      </c>
      <c r="F26" s="7">
        <f>SUMIF(Retail_Data!$A:$A,A26,Retail_Data!$K:$K)</f>
        <v>2006916.6970003149</v>
      </c>
      <c r="G26" s="9">
        <f>SUMIF(Retail_Data!$A:$A,A26,Retail_Data!$J:$J)</f>
        <v>181236.22571400128</v>
      </c>
      <c r="H26" s="9">
        <f>SUMIF(Passenger_Data!$A:$A,A26,Passenger_Data!$E:$E)</f>
        <v>1628915</v>
      </c>
      <c r="I26" s="7">
        <f t="shared" si="0"/>
        <v>11.073485386786402</v>
      </c>
      <c r="J26" s="7">
        <f t="shared" si="1"/>
        <v>1232.0573492173103</v>
      </c>
      <c r="K26" s="9">
        <f t="shared" si="2"/>
        <v>111.26192939103716</v>
      </c>
      <c r="L26" s="7">
        <f>SUMIF(Retail_Data!$A:$A,EDATE(A26,-12),Retail_Data!$K:$K)</f>
        <v>0</v>
      </c>
      <c r="M26" s="8" t="str">
        <f t="shared" si="3"/>
        <v/>
      </c>
      <c r="N26" s="7">
        <f>SUMIFS(Retail_Data!$K:$K,Retail_Data!$A:$A,"&gt;="&amp;DATE(B26,1,1),Retail_Data!$A:$A,"&lt;="&amp;A26)</f>
        <v>12055076.022105239</v>
      </c>
      <c r="O26" s="8" t="str">
        <f>IFERROR(N26/SUMIFS(Retail_Data!$K:$K,Retail_Data!$A:$A,"&gt;="&amp;DATE(B26-1,1,1),Retail_Data!$A:$A,"&lt;="&amp;EDATE(A26,-12))-1,"")</f>
        <v/>
      </c>
    </row>
    <row r="27" spans="1:15">
      <c r="A27" s="5">
        <v>45505</v>
      </c>
      <c r="B27" s="6">
        <v>2024</v>
      </c>
      <c r="C27" s="6">
        <v>8</v>
      </c>
      <c r="D27" t="s">
        <v>28</v>
      </c>
      <c r="E27" s="10">
        <f>COUNTIF(Retail_Data!$A:$A,A27)</f>
        <v>3</v>
      </c>
      <c r="F27" s="7">
        <f>SUMIF(Retail_Data!$A:$A,A27,Retail_Data!$K:$K)</f>
        <v>6760699.8851074763</v>
      </c>
      <c r="G27" s="9">
        <f>SUMIF(Retail_Data!$A:$A,A27,Retail_Data!$J:$J)</f>
        <v>163062.14451940273</v>
      </c>
      <c r="H27" s="9">
        <f>SUMIF(Passenger_Data!$A:$A,A27,Passenger_Data!$E:$E)</f>
        <v>1618153</v>
      </c>
      <c r="I27" s="7">
        <f t="shared" si="0"/>
        <v>41.460879255779822</v>
      </c>
      <c r="J27" s="7">
        <f t="shared" si="1"/>
        <v>4178.0350097348501</v>
      </c>
      <c r="K27" s="9">
        <f t="shared" si="2"/>
        <v>100.77053561647305</v>
      </c>
      <c r="L27" s="7">
        <f>SUMIF(Retail_Data!$A:$A,EDATE(A27,-12),Retail_Data!$K:$K)</f>
        <v>0</v>
      </c>
      <c r="M27" s="8" t="str">
        <f t="shared" si="3"/>
        <v/>
      </c>
      <c r="N27" s="7">
        <f>SUMIFS(Retail_Data!$K:$K,Retail_Data!$A:$A,"&gt;="&amp;DATE(B27,1,1),Retail_Data!$A:$A,"&lt;="&amp;A27)</f>
        <v>18815775.907212716</v>
      </c>
      <c r="O27" s="8" t="str">
        <f>IFERROR(N27/SUMIFS(Retail_Data!$K:$K,Retail_Data!$A:$A,"&gt;="&amp;DATE(B27-1,1,1),Retail_Data!$A:$A,"&lt;="&amp;EDATE(A27,-12))-1,"")</f>
        <v/>
      </c>
    </row>
    <row r="28" spans="1:15">
      <c r="A28" s="5">
        <v>45536</v>
      </c>
      <c r="B28" s="6">
        <v>2024</v>
      </c>
      <c r="C28" s="6">
        <v>9</v>
      </c>
      <c r="D28" t="s">
        <v>29</v>
      </c>
      <c r="E28" s="10">
        <f>COUNTIF(Retail_Data!$A:$A,A28)</f>
        <v>3</v>
      </c>
      <c r="F28" s="7">
        <f>SUMIF(Retail_Data!$A:$A,A28,Retail_Data!$K:$K)</f>
        <v>2056802.3485130686</v>
      </c>
      <c r="G28" s="9">
        <f>SUMIF(Retail_Data!$A:$A,A28,Retail_Data!$J:$J)</f>
        <v>151017.54975520499</v>
      </c>
      <c r="H28" s="9">
        <f>SUMIF(Passenger_Data!$A:$A,A28,Passenger_Data!$E:$E)</f>
        <v>1529718</v>
      </c>
      <c r="I28" s="7">
        <f t="shared" si="0"/>
        <v>13.619624684992472</v>
      </c>
      <c r="J28" s="7">
        <f t="shared" si="1"/>
        <v>1344.5630818968389</v>
      </c>
      <c r="K28" s="9">
        <f t="shared" si="2"/>
        <v>98.722476793242279</v>
      </c>
      <c r="L28" s="7">
        <f>SUMIF(Retail_Data!$A:$A,EDATE(A28,-12),Retail_Data!$K:$K)</f>
        <v>0</v>
      </c>
      <c r="M28" s="8" t="str">
        <f t="shared" si="3"/>
        <v/>
      </c>
      <c r="N28" s="7">
        <f>SUMIFS(Retail_Data!$K:$K,Retail_Data!$A:$A,"&gt;="&amp;DATE(B28,1,1),Retail_Data!$A:$A,"&lt;="&amp;A28)</f>
        <v>20872578.255725782</v>
      </c>
      <c r="O28" s="8" t="str">
        <f>IFERROR(N28/SUMIFS(Retail_Data!$K:$K,Retail_Data!$A:$A,"&gt;="&amp;DATE(B28-1,1,1),Retail_Data!$A:$A,"&lt;="&amp;EDATE(A28,-12))-1,"")</f>
        <v/>
      </c>
    </row>
    <row r="29" spans="1:15">
      <c r="A29" s="5">
        <v>45566</v>
      </c>
      <c r="B29" s="6">
        <v>2024</v>
      </c>
      <c r="C29" s="6">
        <v>10</v>
      </c>
      <c r="D29" t="s">
        <v>30</v>
      </c>
      <c r="E29" s="10">
        <f>COUNTIF(Retail_Data!$A:$A,A29)</f>
        <v>3</v>
      </c>
      <c r="F29" s="7">
        <f>SUMIF(Retail_Data!$A:$A,A29,Retail_Data!$K:$K)</f>
        <v>1751863.6551622325</v>
      </c>
      <c r="G29" s="9">
        <f>SUMIF(Retail_Data!$A:$A,A29,Retail_Data!$J:$J)</f>
        <v>166627.50940966216</v>
      </c>
      <c r="H29" s="9">
        <f>SUMIF(Passenger_Data!$A:$A,A29,Passenger_Data!$E:$E)</f>
        <v>1468168</v>
      </c>
      <c r="I29" s="7">
        <f t="shared" si="0"/>
        <v>10.513652045624633</v>
      </c>
      <c r="J29" s="7">
        <f t="shared" si="1"/>
        <v>1193.2310574554358</v>
      </c>
      <c r="K29" s="9">
        <f t="shared" si="2"/>
        <v>113.49348944375723</v>
      </c>
      <c r="L29" s="7">
        <f>SUMIF(Retail_Data!$A:$A,EDATE(A29,-12),Retail_Data!$K:$K)</f>
        <v>0</v>
      </c>
      <c r="M29" s="8" t="str">
        <f t="shared" si="3"/>
        <v/>
      </c>
      <c r="N29" s="7">
        <f>SUMIFS(Retail_Data!$K:$K,Retail_Data!$A:$A,"&gt;="&amp;DATE(B29,1,1),Retail_Data!$A:$A,"&lt;="&amp;A29)</f>
        <v>22624441.910888012</v>
      </c>
      <c r="O29" s="8" t="str">
        <f>IFERROR(N29/SUMIFS(Retail_Data!$K:$K,Retail_Data!$A:$A,"&gt;="&amp;DATE(B29-1,1,1),Retail_Data!$A:$A,"&lt;="&amp;EDATE(A29,-12))-1,"")</f>
        <v/>
      </c>
    </row>
    <row r="30" spans="1:15">
      <c r="A30" s="5">
        <v>45597</v>
      </c>
      <c r="B30" s="6">
        <v>2024</v>
      </c>
      <c r="C30" s="6">
        <v>11</v>
      </c>
      <c r="D30" t="s">
        <v>31</v>
      </c>
      <c r="E30" s="10">
        <f>COUNTIF(Retail_Data!$A:$A,A30)</f>
        <v>3</v>
      </c>
      <c r="F30" s="7">
        <f>SUMIF(Retail_Data!$A:$A,A30,Retail_Data!$K:$K)</f>
        <v>1786598.8722036295</v>
      </c>
      <c r="G30" s="9">
        <f>SUMIF(Retail_Data!$A:$A,A30,Retail_Data!$J:$J)</f>
        <v>120149.10028279352</v>
      </c>
      <c r="H30" s="9">
        <f>SUMIF(Passenger_Data!$A:$A,A30,Passenger_Data!$E:$E)</f>
        <v>1091165</v>
      </c>
      <c r="I30" s="7">
        <f t="shared" si="0"/>
        <v>14.869848113706494</v>
      </c>
      <c r="J30" s="7">
        <f t="shared" si="1"/>
        <v>1637.331542162395</v>
      </c>
      <c r="K30" s="9">
        <f t="shared" si="2"/>
        <v>110.11084509014999</v>
      </c>
      <c r="L30" s="7">
        <f>SUMIF(Retail_Data!$A:$A,EDATE(A30,-12),Retail_Data!$K:$K)</f>
        <v>0</v>
      </c>
      <c r="M30" s="8" t="str">
        <f t="shared" si="3"/>
        <v/>
      </c>
      <c r="N30" s="7">
        <f>SUMIFS(Retail_Data!$K:$K,Retail_Data!$A:$A,"&gt;="&amp;DATE(B30,1,1),Retail_Data!$A:$A,"&lt;="&amp;A30)</f>
        <v>24411040.783091642</v>
      </c>
      <c r="O30" s="8" t="str">
        <f>IFERROR(N30/SUMIFS(Retail_Data!$K:$K,Retail_Data!$A:$A,"&gt;="&amp;DATE(B30-1,1,1),Retail_Data!$A:$A,"&lt;="&amp;EDATE(A30,-12))-1,"")</f>
        <v/>
      </c>
    </row>
    <row r="31" spans="1:15">
      <c r="A31" s="5">
        <v>45627</v>
      </c>
      <c r="B31" s="6">
        <v>2024</v>
      </c>
      <c r="C31" s="6">
        <v>12</v>
      </c>
      <c r="D31" t="s">
        <v>16</v>
      </c>
      <c r="E31" s="10">
        <f>COUNTIF(Retail_Data!$A:$A,A31)</f>
        <v>4</v>
      </c>
      <c r="F31" s="7">
        <f>SUMIF(Retail_Data!$A:$A,A31,Retail_Data!$K:$K)</f>
        <v>2083333.6373388586</v>
      </c>
      <c r="G31" s="9">
        <f>SUMIF(Retail_Data!$A:$A,A31,Retail_Data!$J:$J)</f>
        <v>142003.73094726558</v>
      </c>
      <c r="H31" s="9">
        <f>SUMIF(Passenger_Data!$A:$A,A31,Passenger_Data!$E:$E)</f>
        <v>1153914</v>
      </c>
      <c r="I31" s="7">
        <f t="shared" si="0"/>
        <v>14.670978173894065</v>
      </c>
      <c r="J31" s="7">
        <f t="shared" si="1"/>
        <v>1805.4496585870859</v>
      </c>
      <c r="K31" s="9">
        <f t="shared" si="2"/>
        <v>123.06266406964954</v>
      </c>
      <c r="L31" s="7">
        <f>SUMIF(Retail_Data!$A:$A,EDATE(A31,-12),Retail_Data!$K:$K)</f>
        <v>0</v>
      </c>
      <c r="M31" s="8" t="str">
        <f t="shared" si="3"/>
        <v/>
      </c>
      <c r="N31" s="7">
        <f>SUMIFS(Retail_Data!$K:$K,Retail_Data!$A:$A,"&gt;="&amp;DATE(B31,1,1),Retail_Data!$A:$A,"&lt;="&amp;A31)</f>
        <v>26494374.420430504</v>
      </c>
      <c r="O31" s="8" t="str">
        <f>IFERROR(N31/SUMIFS(Retail_Data!$K:$K,Retail_Data!$A:$A,"&gt;="&amp;DATE(B31-1,1,1),Retail_Data!$A:$A,"&lt;="&amp;EDATE(A31,-12))-1,"")</f>
        <v/>
      </c>
    </row>
    <row r="32" spans="1:15">
      <c r="A32" s="5">
        <v>45658</v>
      </c>
      <c r="B32" s="6">
        <v>2025</v>
      </c>
      <c r="C32" s="6">
        <v>1</v>
      </c>
      <c r="D32" t="s">
        <v>21</v>
      </c>
      <c r="E32" s="10">
        <f>COUNTIF(Retail_Data!$A:$A,A32)</f>
        <v>4</v>
      </c>
      <c r="F32" s="7">
        <f>SUMIF(Retail_Data!$A:$A,A32,Retail_Data!$K:$K)</f>
        <v>1513724.5076046817</v>
      </c>
      <c r="G32" s="9">
        <f>SUMIF(Retail_Data!$A:$A,A32,Retail_Data!$J:$J)</f>
        <v>118232.17234486576</v>
      </c>
      <c r="H32" s="9">
        <f>SUMIF(Passenger_Data!$A:$A,A32,Passenger_Data!$E:$E)</f>
        <v>950595</v>
      </c>
      <c r="I32" s="7">
        <f t="shared" si="0"/>
        <v>12.802983127040678</v>
      </c>
      <c r="J32" s="7">
        <f t="shared" si="1"/>
        <v>1592.3968752251817</v>
      </c>
      <c r="K32" s="9">
        <f t="shared" si="2"/>
        <v>124.37701896692678</v>
      </c>
      <c r="L32" s="7">
        <f>SUMIF(Retail_Data!$A:$A,EDATE(A32,-12),Retail_Data!$K:$K)</f>
        <v>1285199.1045179663</v>
      </c>
      <c r="M32" s="8">
        <f t="shared" si="3"/>
        <v>0.17781322931471188</v>
      </c>
      <c r="N32" s="7">
        <f>SUMIFS(Retail_Data!$K:$K,Retail_Data!$A:$A,"&gt;="&amp;DATE(B32,1,1),Retail_Data!$A:$A,"&lt;="&amp;A32)</f>
        <v>1513724.5076046817</v>
      </c>
      <c r="O32" s="8">
        <f>IFERROR(N32/SUMIFS(Retail_Data!$K:$K,Retail_Data!$A:$A,"&gt;="&amp;DATE(B32-1,1,1),Retail_Data!$A:$A,"&lt;="&amp;EDATE(A32,-12))-1,"")</f>
        <v>0.17781322931471188</v>
      </c>
    </row>
    <row r="33" spans="1:15">
      <c r="A33" s="5">
        <v>45689</v>
      </c>
      <c r="B33" s="6">
        <v>2025</v>
      </c>
      <c r="C33" s="6">
        <v>2</v>
      </c>
      <c r="D33" t="s">
        <v>22</v>
      </c>
      <c r="E33" s="10">
        <f>COUNTIF(Retail_Data!$A:$A,A33)</f>
        <v>4</v>
      </c>
      <c r="F33" s="7">
        <f>SUMIF(Retail_Data!$A:$A,A33,Retail_Data!$K:$K)</f>
        <v>1733221.9177548266</v>
      </c>
      <c r="G33" s="9">
        <f>SUMIF(Retail_Data!$A:$A,A33,Retail_Data!$J:$J)</f>
        <v>149106.91356324655</v>
      </c>
      <c r="H33" s="9">
        <f>SUMIF(Passenger_Data!$A:$A,A33,Passenger_Data!$E:$E)</f>
        <v>1016868</v>
      </c>
      <c r="I33" s="7">
        <f t="shared" si="0"/>
        <v>11.624021155931494</v>
      </c>
      <c r="J33" s="7">
        <f t="shared" si="1"/>
        <v>1704.4709025702714</v>
      </c>
      <c r="K33" s="9">
        <f t="shared" si="2"/>
        <v>146.63349969046774</v>
      </c>
      <c r="L33" s="7">
        <f>SUMIF(Retail_Data!$A:$A,EDATE(A33,-12),Retail_Data!$K:$K)</f>
        <v>1191468.211179046</v>
      </c>
      <c r="M33" s="8">
        <f t="shared" si="3"/>
        <v>0.45469421801835175</v>
      </c>
      <c r="N33" s="7">
        <f>SUMIFS(Retail_Data!$K:$K,Retail_Data!$A:$A,"&gt;="&amp;DATE(B33,1,1),Retail_Data!$A:$A,"&lt;="&amp;A33)</f>
        <v>3246946.4253595085</v>
      </c>
      <c r="O33" s="8">
        <f>IFERROR(N33/SUMIFS(Retail_Data!$K:$K,Retail_Data!$A:$A,"&gt;="&amp;DATE(B33-1,1,1),Retail_Data!$A:$A,"&lt;="&amp;EDATE(A33,-12))-1,"")</f>
        <v>0.3110143638511722</v>
      </c>
    </row>
    <row r="34" spans="1:15">
      <c r="A34" s="5">
        <v>45717</v>
      </c>
      <c r="B34" s="6">
        <v>2025</v>
      </c>
      <c r="C34" s="6">
        <v>3</v>
      </c>
      <c r="D34" t="s">
        <v>23</v>
      </c>
      <c r="E34" s="10">
        <f>COUNTIF(Retail_Data!$A:$A,A34)</f>
        <v>4</v>
      </c>
      <c r="F34" s="7">
        <f>SUMIF(Retail_Data!$A:$A,A34,Retail_Data!$K:$K)</f>
        <v>1760224.3692645461</v>
      </c>
      <c r="G34" s="9">
        <f>SUMIF(Retail_Data!$A:$A,A34,Retail_Data!$J:$J)</f>
        <v>144936.35105555446</v>
      </c>
      <c r="H34" s="9">
        <f>SUMIF(Passenger_Data!$A:$A,A34,Passenger_Data!$E:$E)</f>
        <v>1191178</v>
      </c>
      <c r="I34" s="7">
        <f t="shared" si="0"/>
        <v>12.14480947288267</v>
      </c>
      <c r="J34" s="7">
        <f t="shared" si="1"/>
        <v>1477.7173262640395</v>
      </c>
      <c r="K34" s="9">
        <f t="shared" si="2"/>
        <v>121.67480515553046</v>
      </c>
      <c r="L34" s="7">
        <f>SUMIF(Retail_Data!$A:$A,EDATE(A34,-12),Retail_Data!$K:$K)</f>
        <v>1320726.6384934895</v>
      </c>
      <c r="M34" s="8">
        <f t="shared" si="3"/>
        <v>0.33276964207549997</v>
      </c>
      <c r="N34" s="7">
        <f>SUMIFS(Retail_Data!$K:$K,Retail_Data!$A:$A,"&gt;="&amp;DATE(B34,1,1),Retail_Data!$A:$A,"&lt;="&amp;A34)</f>
        <v>5007170.7946240548</v>
      </c>
      <c r="O34" s="8">
        <f>IFERROR(N34/SUMIFS(Retail_Data!$K:$K,Retail_Data!$A:$A,"&gt;="&amp;DATE(B34-1,1,1),Retail_Data!$A:$A,"&lt;="&amp;EDATE(A34,-12))-1,"")</f>
        <v>0.3185808096361824</v>
      </c>
    </row>
    <row r="35" spans="1:15">
      <c r="A35" s="5">
        <v>45748</v>
      </c>
      <c r="B35" s="6">
        <v>2025</v>
      </c>
      <c r="C35" s="6">
        <v>4</v>
      </c>
      <c r="D35" t="s">
        <v>24</v>
      </c>
      <c r="E35" s="10">
        <f>COUNTIF(Retail_Data!$A:$A,A35)</f>
        <v>4</v>
      </c>
      <c r="F35" s="7">
        <f>SUMIF(Retail_Data!$A:$A,A35,Retail_Data!$K:$K)</f>
        <v>2526490.9187944815</v>
      </c>
      <c r="G35" s="9">
        <f>SUMIF(Retail_Data!$A:$A,A35,Retail_Data!$J:$J)</f>
        <v>189766.74393461327</v>
      </c>
      <c r="H35" s="9">
        <f>SUMIF(Passenger_Data!$A:$A,A35,Passenger_Data!$E:$E)</f>
        <v>1393786</v>
      </c>
      <c r="I35" s="7">
        <f t="shared" si="0"/>
        <v>13.313665326233444</v>
      </c>
      <c r="J35" s="7">
        <f t="shared" si="1"/>
        <v>1812.6820894990203</v>
      </c>
      <c r="K35" s="9">
        <f t="shared" si="2"/>
        <v>136.15199459214921</v>
      </c>
      <c r="L35" s="7">
        <f>SUMIF(Retail_Data!$A:$A,EDATE(A35,-12),Retail_Data!$K:$K)</f>
        <v>1632518.7966034752</v>
      </c>
      <c r="M35" s="8">
        <f t="shared" si="3"/>
        <v>0.54760295811046911</v>
      </c>
      <c r="N35" s="7">
        <f>SUMIFS(Retail_Data!$K:$K,Retail_Data!$A:$A,"&gt;="&amp;DATE(B35,1,1),Retail_Data!$A:$A,"&lt;="&amp;A35)</f>
        <v>7533661.7134185359</v>
      </c>
      <c r="O35" s="8">
        <f>IFERROR(N35/SUMIFS(Retail_Data!$K:$K,Retail_Data!$A:$A,"&gt;="&amp;DATE(B35-1,1,1),Retail_Data!$A:$A,"&lt;="&amp;EDATE(A35,-12))-1,"")</f>
        <v>0.38743697351618445</v>
      </c>
    </row>
    <row r="36" spans="1:15">
      <c r="A36" s="5">
        <v>45778</v>
      </c>
      <c r="B36" s="6">
        <v>2025</v>
      </c>
      <c r="C36" s="6">
        <v>5</v>
      </c>
      <c r="D36" t="s">
        <v>25</v>
      </c>
      <c r="E36" s="10">
        <f>COUNTIF(Retail_Data!$A:$A,A36)</f>
        <v>5</v>
      </c>
      <c r="F36" s="7">
        <f>SUMIF(Retail_Data!$A:$A,A36,Retail_Data!$K:$K)</f>
        <v>2629319.2323037493</v>
      </c>
      <c r="G36" s="9">
        <f>SUMIF(Retail_Data!$A:$A,A36,Retail_Data!$J:$J)</f>
        <v>203738.06891195063</v>
      </c>
      <c r="H36" s="9">
        <f>SUMIF(Passenger_Data!$A:$A,A36,Passenger_Data!$E:$E)</f>
        <v>1576429</v>
      </c>
      <c r="I36" s="7">
        <f t="shared" si="0"/>
        <v>12.905389976185848</v>
      </c>
      <c r="J36" s="7">
        <f t="shared" si="1"/>
        <v>1667.8957519201622</v>
      </c>
      <c r="K36" s="9">
        <f t="shared" si="2"/>
        <v>129.24024419238077</v>
      </c>
      <c r="L36" s="7">
        <f>SUMIF(Retail_Data!$A:$A,EDATE(A36,-12),Retail_Data!$K:$K)</f>
        <v>2066828.9161224479</v>
      </c>
      <c r="M36" s="8">
        <f t="shared" si="3"/>
        <v>0.27215136763065151</v>
      </c>
      <c r="N36" s="7">
        <f>SUMIFS(Retail_Data!$K:$K,Retail_Data!$A:$A,"&gt;="&amp;DATE(B36,1,1),Retail_Data!$A:$A,"&lt;="&amp;A36)</f>
        <v>10162980.945722284</v>
      </c>
      <c r="O36" s="8">
        <f>IFERROR(N36/SUMIFS(Retail_Data!$K:$K,Retail_Data!$A:$A,"&gt;="&amp;DATE(B36-1,1,1),Retail_Data!$A:$A,"&lt;="&amp;EDATE(A36,-12))-1,"")</f>
        <v>0.35565308200122892</v>
      </c>
    </row>
    <row r="37" spans="1:15">
      <c r="A37" s="5">
        <v>45809</v>
      </c>
      <c r="B37" s="6">
        <v>2025</v>
      </c>
      <c r="C37" s="6">
        <v>6</v>
      </c>
      <c r="D37" t="s">
        <v>26</v>
      </c>
      <c r="E37" s="10">
        <f>COUNTIF(Retail_Data!$A:$A,A37)</f>
        <v>5</v>
      </c>
      <c r="F37" s="7">
        <f>SUMIF(Retail_Data!$A:$A,A37,Retail_Data!$K:$K)</f>
        <v>3092476.6089978712</v>
      </c>
      <c r="G37" s="9">
        <f>SUMIF(Retail_Data!$A:$A,A37,Retail_Data!$J:$J)</f>
        <v>209599.58115068058</v>
      </c>
      <c r="H37" s="9">
        <f>SUMIF(Passenger_Data!$A:$A,A37,Passenger_Data!$E:$E)</f>
        <v>1643722</v>
      </c>
      <c r="I37" s="7">
        <f t="shared" si="0"/>
        <v>14.75421177857554</v>
      </c>
      <c r="J37" s="7">
        <f t="shared" si="1"/>
        <v>1881.3866389802358</v>
      </c>
      <c r="K37" s="9">
        <f t="shared" si="2"/>
        <v>127.51522529398559</v>
      </c>
      <c r="L37" s="7">
        <f>SUMIF(Retail_Data!$A:$A,EDATE(A37,-12),Retail_Data!$K:$K)</f>
        <v>2551417.6581885014</v>
      </c>
      <c r="M37" s="8">
        <f t="shared" si="3"/>
        <v>0.21206208598302179</v>
      </c>
      <c r="N37" s="7">
        <f>SUMIFS(Retail_Data!$K:$K,Retail_Data!$A:$A,"&gt;="&amp;DATE(B37,1,1),Retail_Data!$A:$A,"&lt;="&amp;A37)</f>
        <v>13255457.55472016</v>
      </c>
      <c r="O37" s="8">
        <f>IFERROR(N37/SUMIFS(Retail_Data!$K:$K,Retail_Data!$A:$A,"&gt;="&amp;DATE(B37-1,1,1),Retail_Data!$A:$A,"&lt;="&amp;EDATE(A37,-12))-1,"")</f>
        <v>0.31919261288004508</v>
      </c>
    </row>
    <row r="38" spans="1:15">
      <c r="A38" s="5">
        <v>45839</v>
      </c>
      <c r="B38" s="6">
        <v>2025</v>
      </c>
      <c r="C38" s="6">
        <v>7</v>
      </c>
      <c r="D38" t="s">
        <v>27</v>
      </c>
      <c r="E38" s="10">
        <f>COUNTIF(Retail_Data!$A:$A,A38)</f>
        <v>5</v>
      </c>
      <c r="F38" s="7">
        <f>SUMIF(Retail_Data!$A:$A,A38,Retail_Data!$K:$K)</f>
        <v>3296520.655643071</v>
      </c>
      <c r="G38" s="9">
        <f>SUMIF(Retail_Data!$A:$A,A38,Retail_Data!$J:$J)</f>
        <v>222479.73159114883</v>
      </c>
      <c r="H38" s="9">
        <f>SUMIF(Passenger_Data!$A:$A,A38,Passenger_Data!$E:$E)</f>
        <v>1783169</v>
      </c>
      <c r="I38" s="7">
        <f t="shared" si="0"/>
        <v>14.817172926570631</v>
      </c>
      <c r="J38" s="7">
        <f t="shared" si="1"/>
        <v>1848.6866111081288</v>
      </c>
      <c r="K38" s="9">
        <f t="shared" si="2"/>
        <v>124.76648685074092</v>
      </c>
      <c r="L38" s="7">
        <f>SUMIF(Retail_Data!$A:$A,EDATE(A38,-12),Retail_Data!$K:$K)</f>
        <v>2006916.6970003149</v>
      </c>
      <c r="M38" s="8">
        <f t="shared" si="3"/>
        <v>0.64257971472871445</v>
      </c>
      <c r="N38" s="7">
        <f>SUMIFS(Retail_Data!$K:$K,Retail_Data!$A:$A,"&gt;="&amp;DATE(B38,1,1),Retail_Data!$A:$A,"&lt;="&amp;A38)</f>
        <v>16551978.21036323</v>
      </c>
      <c r="O38" s="8">
        <f>IFERROR(N38/SUMIFS(Retail_Data!$K:$K,Retail_Data!$A:$A,"&gt;="&amp;DATE(B38-1,1,1),Retail_Data!$A:$A,"&lt;="&amp;EDATE(A38,-12))-1,"")</f>
        <v>0.37302976605141924</v>
      </c>
    </row>
    <row r="39" spans="1:15">
      <c r="A39" s="5">
        <v>45870</v>
      </c>
      <c r="B39" s="6">
        <v>2025</v>
      </c>
      <c r="C39" s="6">
        <v>8</v>
      </c>
      <c r="D39" t="s">
        <v>28</v>
      </c>
      <c r="E39" s="10">
        <f>COUNTIF(Retail_Data!$A:$A,A39)</f>
        <v>5</v>
      </c>
      <c r="F39" s="7">
        <f>SUMIF(Retail_Data!$A:$A,A39,Retail_Data!$K:$K)</f>
        <v>2435490.96144184</v>
      </c>
      <c r="G39" s="9">
        <f>SUMIF(Retail_Data!$A:$A,A39,Retail_Data!$J:$J)</f>
        <v>244823.28619710761</v>
      </c>
      <c r="H39" s="9">
        <f>SUMIF(Passenger_Data!$A:$A,A39,Passenger_Data!$E:$E)</f>
        <v>1770479</v>
      </c>
      <c r="I39" s="7">
        <f t="shared" si="0"/>
        <v>9.9479547034632265</v>
      </c>
      <c r="J39" s="7">
        <f t="shared" si="1"/>
        <v>1375.6113240777438</v>
      </c>
      <c r="K39" s="9">
        <f t="shared" si="2"/>
        <v>138.2808190309558</v>
      </c>
      <c r="L39" s="7">
        <f>SUMIF(Retail_Data!$A:$A,EDATE(A39,-12),Retail_Data!$K:$K)</f>
        <v>6760699.8851074763</v>
      </c>
      <c r="M39" s="8">
        <f t="shared" si="3"/>
        <v>-0.63975756906370607</v>
      </c>
      <c r="N39" s="7">
        <f>SUMIFS(Retail_Data!$K:$K,Retail_Data!$A:$A,"&gt;="&amp;DATE(B39,1,1),Retail_Data!$A:$A,"&lt;="&amp;A39)</f>
        <v>18987469.171805069</v>
      </c>
      <c r="O39" s="8">
        <f>IFERROR(N39/SUMIFS(Retail_Data!$K:$K,Retail_Data!$A:$A,"&gt;="&amp;DATE(B39-1,1,1),Retail_Data!$A:$A,"&lt;="&amp;EDATE(A39,-12))-1,"")</f>
        <v>9.124963298831501E-3</v>
      </c>
    </row>
    <row r="40" spans="1:15">
      <c r="A40" s="5">
        <v>45901</v>
      </c>
      <c r="B40" s="6">
        <v>2025</v>
      </c>
      <c r="C40" s="6">
        <v>9</v>
      </c>
      <c r="D40" t="s">
        <v>29</v>
      </c>
      <c r="E40" s="10">
        <f>COUNTIF(Retail_Data!$A:$A,A40)</f>
        <v>5</v>
      </c>
      <c r="F40" s="7">
        <f>SUMIF(Retail_Data!$A:$A,A40,Retail_Data!$K:$K)</f>
        <v>3227304.5986245135</v>
      </c>
      <c r="G40" s="9">
        <f>SUMIF(Retail_Data!$A:$A,A40,Retail_Data!$J:$J)</f>
        <v>192295.63723343279</v>
      </c>
      <c r="H40" s="9">
        <f>SUMIF(Passenger_Data!$A:$A,A40,Passenger_Data!$E:$E)</f>
        <v>1628996</v>
      </c>
      <c r="I40" s="7">
        <f t="shared" si="0"/>
        <v>16.783035980721717</v>
      </c>
      <c r="J40" s="7">
        <f t="shared" si="1"/>
        <v>1981.1617699641458</v>
      </c>
      <c r="K40" s="9">
        <f t="shared" si="2"/>
        <v>118.04549380933581</v>
      </c>
      <c r="L40" s="7">
        <f>SUMIF(Retail_Data!$A:$A,EDATE(A40,-12),Retail_Data!$K:$K)</f>
        <v>2056802.3485130686</v>
      </c>
      <c r="M40" s="8">
        <f t="shared" si="3"/>
        <v>0.56908834772463202</v>
      </c>
      <c r="N40" s="7">
        <f>SUMIFS(Retail_Data!$K:$K,Retail_Data!$A:$A,"&gt;="&amp;DATE(B40,1,1),Retail_Data!$A:$A,"&lt;="&amp;A40)</f>
        <v>22214773.770429581</v>
      </c>
      <c r="O40" s="8">
        <f>IFERROR(N40/SUMIFS(Retail_Data!$K:$K,Retail_Data!$A:$A,"&gt;="&amp;DATE(B40-1,1,1),Retail_Data!$A:$A,"&lt;="&amp;EDATE(A40,-12))-1,"")</f>
        <v>6.4304251169143845E-2</v>
      </c>
    </row>
    <row r="41" spans="1:15">
      <c r="A41" s="5">
        <v>45931</v>
      </c>
      <c r="B41" s="6">
        <v>2025</v>
      </c>
      <c r="C41" s="6">
        <v>10</v>
      </c>
      <c r="D41" t="s">
        <v>30</v>
      </c>
      <c r="E41" s="10">
        <f>COUNTIF(Retail_Data!$A:$A,A41)</f>
        <v>5</v>
      </c>
      <c r="F41" s="7">
        <f>SUMIF(Retail_Data!$A:$A,A41,Retail_Data!$K:$K)</f>
        <v>2847320.2191283382</v>
      </c>
      <c r="G41" s="9">
        <f>SUMIF(Retail_Data!$A:$A,A41,Retail_Data!$J:$J)</f>
        <v>180721.59281689237</v>
      </c>
      <c r="H41" s="9">
        <f>SUMIF(Passenger_Data!$A:$A,A41,Passenger_Data!$E:$E)</f>
        <v>1609903</v>
      </c>
      <c r="I41" s="7">
        <f t="shared" si="0"/>
        <v>15.755285103165569</v>
      </c>
      <c r="J41" s="7">
        <f t="shared" si="1"/>
        <v>1768.6284323517243</v>
      </c>
      <c r="K41" s="9">
        <f t="shared" si="2"/>
        <v>112.256199793958</v>
      </c>
      <c r="L41" s="7">
        <f>SUMIF(Retail_Data!$A:$A,EDATE(A41,-12),Retail_Data!$K:$K)</f>
        <v>1751863.6551622325</v>
      </c>
      <c r="M41" s="8">
        <f t="shared" si="3"/>
        <v>0.62530925893582756</v>
      </c>
      <c r="N41" s="7">
        <f>SUMIFS(Retail_Data!$K:$K,Retail_Data!$A:$A,"&gt;="&amp;DATE(B41,1,1),Retail_Data!$A:$A,"&lt;="&amp;A41)</f>
        <v>25062093.989557922</v>
      </c>
      <c r="O41" s="8">
        <f>IFERROR(N41/SUMIFS(Retail_Data!$K:$K,Retail_Data!$A:$A,"&gt;="&amp;DATE(B41-1,1,1),Retail_Data!$A:$A,"&lt;="&amp;EDATE(A41,-12))-1,"")</f>
        <v>0.1077441860564432</v>
      </c>
    </row>
    <row r="42" spans="1:15">
      <c r="A42" s="5">
        <v>45962</v>
      </c>
      <c r="B42" s="6">
        <v>2025</v>
      </c>
      <c r="C42" s="6">
        <v>11</v>
      </c>
      <c r="D42" t="s">
        <v>31</v>
      </c>
      <c r="E42" s="10">
        <f>COUNTIF(Retail_Data!$A:$A,A42)</f>
        <v>5</v>
      </c>
      <c r="F42" s="7">
        <f>SUMIF(Retail_Data!$A:$A,A42,Retail_Data!$K:$K)</f>
        <v>2064020.8083337038</v>
      </c>
      <c r="G42" s="9">
        <f>SUMIF(Retail_Data!$A:$A,A42,Retail_Data!$J:$J)</f>
        <v>174039.98249211474</v>
      </c>
      <c r="H42" s="9">
        <f>SUMIF(Passenger_Data!$A:$A,A42,Passenger_Data!$E:$E)</f>
        <v>1193998</v>
      </c>
      <c r="I42" s="7">
        <f t="shared" si="0"/>
        <v>11.859463433508555</v>
      </c>
      <c r="J42" s="7">
        <f t="shared" si="1"/>
        <v>1728.663539079382</v>
      </c>
      <c r="K42" s="9">
        <f t="shared" si="2"/>
        <v>145.76237354846049</v>
      </c>
      <c r="L42" s="7">
        <f>SUMIF(Retail_Data!$A:$A,EDATE(A42,-12),Retail_Data!$K:$K)</f>
        <v>1786598.8722036295</v>
      </c>
      <c r="M42" s="8">
        <f t="shared" si="3"/>
        <v>0.15527936373758933</v>
      </c>
      <c r="N42" s="7">
        <f>SUMIFS(Retail_Data!$K:$K,Retail_Data!$A:$A,"&gt;="&amp;DATE(B42,1,1),Retail_Data!$A:$A,"&lt;="&amp;A42)</f>
        <v>27126114.797891624</v>
      </c>
      <c r="O42" s="8">
        <f>IFERROR(N42/SUMIFS(Retail_Data!$K:$K,Retail_Data!$A:$A,"&gt;="&amp;DATE(B42-1,1,1),Retail_Data!$A:$A,"&lt;="&amp;EDATE(A42,-12))-1,"")</f>
        <v>0.11122319768850586</v>
      </c>
    </row>
    <row r="43" spans="1:15">
      <c r="A43" s="5">
        <v>45992</v>
      </c>
      <c r="B43" s="6">
        <v>2025</v>
      </c>
      <c r="C43" s="6">
        <v>12</v>
      </c>
      <c r="D43" t="s">
        <v>16</v>
      </c>
      <c r="E43" s="10">
        <f>COUNTIF(Retail_Data!$A:$A,A43)</f>
        <v>5</v>
      </c>
      <c r="F43" s="7">
        <f>SUMIF(Retail_Data!$A:$A,A43,Retail_Data!$K:$K)</f>
        <v>2146315.1718598902</v>
      </c>
      <c r="G43" s="9">
        <f>SUMIF(Retail_Data!$A:$A,A43,Retail_Data!$J:$J)</f>
        <v>186442.99475433191</v>
      </c>
      <c r="H43" s="9">
        <f>SUMIF(Passenger_Data!$A:$A,A43,Passenger_Data!$E:$E)</f>
        <v>1222096</v>
      </c>
      <c r="I43" s="7">
        <f t="shared" si="0"/>
        <v>11.511911051890147</v>
      </c>
      <c r="J43" s="7">
        <f t="shared" si="1"/>
        <v>1756.2574231974331</v>
      </c>
      <c r="K43" s="9">
        <f t="shared" si="2"/>
        <v>152.56002372508536</v>
      </c>
      <c r="L43" s="7">
        <f>SUMIF(Retail_Data!$A:$A,EDATE(A43,-12),Retail_Data!$K:$K)</f>
        <v>2083333.6373388586</v>
      </c>
      <c r="M43" s="8">
        <f t="shared" si="3"/>
        <v>3.0231132158688112E-2</v>
      </c>
      <c r="N43" s="7">
        <f>SUMIFS(Retail_Data!$K:$K,Retail_Data!$A:$A,"&gt;="&amp;DATE(B43,1,1),Retail_Data!$A:$A,"&lt;="&amp;A43)</f>
        <v>29272429.969751514</v>
      </c>
      <c r="O43" s="8">
        <f>IFERROR(N43/SUMIFS(Retail_Data!$K:$K,Retail_Data!$A:$A,"&gt;="&amp;DATE(B43-1,1,1),Retail_Data!$A:$A,"&lt;="&amp;EDATE(A43,-12))-1,"")</f>
        <v>0.10485454403402628</v>
      </c>
    </row>
    <row r="44" spans="1:15">
      <c r="A44" s="5">
        <v>46023</v>
      </c>
      <c r="B44" s="6">
        <v>2026</v>
      </c>
      <c r="C44" s="6">
        <v>1</v>
      </c>
      <c r="D44" t="s">
        <v>21</v>
      </c>
      <c r="E44" s="10">
        <f>COUNTIF(Retail_Data!$A:$A,A44)</f>
        <v>5</v>
      </c>
      <c r="F44" s="7">
        <f>SUMIF(Retail_Data!$A:$A,A44,Retail_Data!$K:$K)</f>
        <v>2109073.5205594781</v>
      </c>
      <c r="G44" s="9">
        <f>SUMIF(Retail_Data!$A:$A,A44,Retail_Data!$J:$J)</f>
        <v>120523.52612528283</v>
      </c>
      <c r="H44" s="9">
        <f>SUMIF(Passenger_Data!$A:$A,A44,Passenger_Data!$E:$E)</f>
        <v>1017320</v>
      </c>
      <c r="I44" s="7">
        <f t="shared" si="0"/>
        <v>17.499268303576848</v>
      </c>
      <c r="J44" s="7">
        <f t="shared" si="1"/>
        <v>2073.1662805798355</v>
      </c>
      <c r="K44" s="9">
        <f t="shared" si="2"/>
        <v>118.47159804710694</v>
      </c>
      <c r="L44" s="7">
        <f>SUMIF(Retail_Data!$A:$A,EDATE(A44,-12),Retail_Data!$K:$K)</f>
        <v>1513724.5076046817</v>
      </c>
      <c r="M44" s="8">
        <f t="shared" si="3"/>
        <v>0.3933007690394581</v>
      </c>
      <c r="N44" s="7">
        <f>SUMIFS(Retail_Data!$K:$K,Retail_Data!$A:$A,"&gt;="&amp;DATE(B44,1,1),Retail_Data!$A:$A,"&lt;="&amp;A44)</f>
        <v>2109073.5205594781</v>
      </c>
      <c r="O44" s="8">
        <f>IFERROR(N44/SUMIFS(Retail_Data!$K:$K,Retail_Data!$A:$A,"&gt;="&amp;DATE(B44-1,1,1),Retail_Data!$A:$A,"&lt;="&amp;EDATE(A44,-12))-1,"")</f>
        <v>0.3933007690394581</v>
      </c>
    </row>
    <row r="45" spans="1:15">
      <c r="A45" s="5">
        <v>46054</v>
      </c>
      <c r="B45" s="6">
        <v>2026</v>
      </c>
      <c r="C45" s="6">
        <v>2</v>
      </c>
      <c r="D45" t="s">
        <v>22</v>
      </c>
      <c r="E45" s="10">
        <f>COUNTIF(Retail_Data!$A:$A,A45)</f>
        <v>5</v>
      </c>
      <c r="F45" s="7">
        <f>SUMIF(Retail_Data!$A:$A,A45,Retail_Data!$K:$K)</f>
        <v>1827374.8496907316</v>
      </c>
      <c r="G45" s="9">
        <f>SUMIF(Retail_Data!$A:$A,A45,Retail_Data!$J:$J)</f>
        <v>151871.54986397547</v>
      </c>
      <c r="H45" s="9">
        <f>SUMIF(Passenger_Data!$A:$A,A45,Passenger_Data!$E:$E)</f>
        <v>1071937</v>
      </c>
      <c r="I45" s="7">
        <f t="shared" si="0"/>
        <v>12.032371114454481</v>
      </c>
      <c r="J45" s="7">
        <f t="shared" si="1"/>
        <v>1704.7409033280237</v>
      </c>
      <c r="K45" s="9">
        <f t="shared" si="2"/>
        <v>141.67954820476899</v>
      </c>
      <c r="L45" s="7">
        <f>SUMIF(Retail_Data!$A:$A,EDATE(A45,-12),Retail_Data!$K:$K)</f>
        <v>1733221.9177548266</v>
      </c>
      <c r="M45" s="8">
        <f t="shared" si="3"/>
        <v>5.4322490946726809E-2</v>
      </c>
      <c r="N45" s="7">
        <f>SUMIFS(Retail_Data!$K:$K,Retail_Data!$A:$A,"&gt;="&amp;DATE(B45,1,1),Retail_Data!$A:$A,"&lt;="&amp;A45)</f>
        <v>3936448.3702502097</v>
      </c>
      <c r="O45" s="8">
        <f>IFERROR(N45/SUMIFS(Retail_Data!$K:$K,Retail_Data!$A:$A,"&gt;="&amp;DATE(B45-1,1,1),Retail_Data!$A:$A,"&lt;="&amp;EDATE(A45,-12))-1,"")</f>
        <v>0.2123539641755432</v>
      </c>
    </row>
    <row r="46" spans="1:15">
      <c r="A46" s="5">
        <v>46082</v>
      </c>
      <c r="B46" s="6">
        <v>2026</v>
      </c>
      <c r="C46" s="6">
        <v>3</v>
      </c>
      <c r="D46" t="s">
        <v>23</v>
      </c>
      <c r="E46" s="10">
        <f>COUNTIF(Retail_Data!$A:$A,A46)</f>
        <v>5</v>
      </c>
      <c r="F46" s="7">
        <f>SUMIF(Retail_Data!$A:$A,A46,Retail_Data!$K:$K)</f>
        <v>2276394.0646592099</v>
      </c>
      <c r="G46" s="9">
        <f>SUMIF(Retail_Data!$A:$A,A46,Retail_Data!$J:$J)</f>
        <v>191437.35402812003</v>
      </c>
      <c r="H46" s="9">
        <f>SUMIF(Passenger_Data!$A:$A,A46,Passenger_Data!$E:$E)</f>
        <v>1274309</v>
      </c>
      <c r="I46" s="7">
        <f t="shared" si="0"/>
        <v>11.891065232362294</v>
      </c>
      <c r="J46" s="7">
        <f t="shared" si="1"/>
        <v>1786.3752548708435</v>
      </c>
      <c r="K46" s="9">
        <f t="shared" si="2"/>
        <v>150.22836221679358</v>
      </c>
      <c r="L46" s="7">
        <f>SUMIF(Retail_Data!$A:$A,EDATE(A46,-12),Retail_Data!$K:$K)</f>
        <v>1760224.3692645461</v>
      </c>
      <c r="M46" s="8">
        <f t="shared" si="3"/>
        <v>0.29324085293190727</v>
      </c>
      <c r="N46" s="7">
        <f>SUMIFS(Retail_Data!$K:$K,Retail_Data!$A:$A,"&gt;="&amp;DATE(B46,1,1),Retail_Data!$A:$A,"&lt;="&amp;A46)</f>
        <v>6212842.434909421</v>
      </c>
      <c r="O46" s="8">
        <f>IFERROR(N46/SUMIFS(Retail_Data!$K:$K,Retail_Data!$A:$A,"&gt;="&amp;DATE(B46-1,1,1),Retail_Data!$A:$A,"&lt;="&amp;EDATE(A46,-12))-1,"")</f>
        <v>0.24078899836607026</v>
      </c>
    </row>
    <row r="47" spans="1:15">
      <c r="A47" s="5">
        <v>46113</v>
      </c>
      <c r="B47" s="6">
        <v>2026</v>
      </c>
      <c r="C47" s="6">
        <v>4</v>
      </c>
      <c r="D47" t="s">
        <v>24</v>
      </c>
      <c r="E47" s="10">
        <f>COUNTIF(Retail_Data!$A:$A,A47)</f>
        <v>5</v>
      </c>
      <c r="F47" s="7">
        <f>SUMIF(Retail_Data!$A:$A,A47,Retail_Data!$K:$K)</f>
        <v>2184653.8926735427</v>
      </c>
      <c r="G47" s="9">
        <f>SUMIF(Retail_Data!$A:$A,A47,Retail_Data!$J:$J)</f>
        <v>176779.34524718294</v>
      </c>
      <c r="H47" s="9">
        <f>SUMIF(Passenger_Data!$A:$A,A47,Passenger_Data!$E:$E)</f>
        <v>1465123</v>
      </c>
      <c r="I47" s="7">
        <f t="shared" si="0"/>
        <v>12.358083404024578</v>
      </c>
      <c r="J47" s="7">
        <f t="shared" si="1"/>
        <v>1491.1061342109454</v>
      </c>
      <c r="K47" s="9">
        <f t="shared" si="2"/>
        <v>120.65836468827733</v>
      </c>
      <c r="L47" s="7">
        <f>SUMIF(Retail_Data!$A:$A,EDATE(A47,-12),Retail_Data!$K:$K)</f>
        <v>2526490.9187944815</v>
      </c>
      <c r="M47" s="8">
        <f t="shared" si="3"/>
        <v>-0.13530111015955948</v>
      </c>
      <c r="N47" s="7">
        <f>SUMIFS(Retail_Data!$K:$K,Retail_Data!$A:$A,"&gt;="&amp;DATE(B47,1,1),Retail_Data!$A:$A,"&lt;="&amp;A47)</f>
        <v>8397496.3275829628</v>
      </c>
      <c r="O47" s="8">
        <f>IFERROR(N47/SUMIFS(Retail_Data!$K:$K,Retail_Data!$A:$A,"&gt;="&amp;DATE(B47-1,1,1),Retail_Data!$A:$A,"&lt;="&amp;EDATE(A47,-12))-1,"")</f>
        <v>0.11466331340917701</v>
      </c>
    </row>
    <row r="48" spans="1:15">
      <c r="A48" s="5">
        <v>46143</v>
      </c>
      <c r="B48" s="6">
        <v>2026</v>
      </c>
      <c r="C48" s="6">
        <v>5</v>
      </c>
      <c r="D48" t="s">
        <v>25</v>
      </c>
      <c r="E48" s="10">
        <f>COUNTIF(Retail_Data!$A:$A,A48)</f>
        <v>5</v>
      </c>
      <c r="F48" s="7">
        <f>SUMIF(Retail_Data!$A:$A,A48,Retail_Data!$K:$K)</f>
        <v>3190270.8887852351</v>
      </c>
      <c r="G48" s="9">
        <f>SUMIF(Retail_Data!$A:$A,A48,Retail_Data!$J:$J)</f>
        <v>201838.52999019256</v>
      </c>
      <c r="H48" s="9">
        <f>SUMIF(Passenger_Data!$A:$A,A48,Passenger_Data!$E:$E)</f>
        <v>1655765</v>
      </c>
      <c r="I48" s="7">
        <f t="shared" si="0"/>
        <v>15.806054913996114</v>
      </c>
      <c r="J48" s="7">
        <f t="shared" si="1"/>
        <v>1926.7655064488226</v>
      </c>
      <c r="K48" s="9">
        <f t="shared" si="2"/>
        <v>121.90046896159332</v>
      </c>
      <c r="L48" s="7">
        <f>SUMIF(Retail_Data!$A:$A,EDATE(A48,-12),Retail_Data!$K:$K)</f>
        <v>2629319.2323037493</v>
      </c>
      <c r="M48" s="8">
        <f t="shared" si="3"/>
        <v>0.21334482690030487</v>
      </c>
      <c r="N48" s="7">
        <f>SUMIFS(Retail_Data!$K:$K,Retail_Data!$A:$A,"&gt;="&amp;DATE(B48,1,1),Retail_Data!$A:$A,"&lt;="&amp;A48)</f>
        <v>11587767.216368197</v>
      </c>
      <c r="O48" s="8">
        <f>IFERROR(N48/SUMIFS(Retail_Data!$K:$K,Retail_Data!$A:$A,"&gt;="&amp;DATE(B48-1,1,1),Retail_Data!$A:$A,"&lt;="&amp;EDATE(A48,-12))-1,"")</f>
        <v>0.1401937362920691</v>
      </c>
    </row>
    <row r="49" spans="1:15">
      <c r="A49" s="5">
        <v>46174</v>
      </c>
      <c r="B49" s="6">
        <v>2026</v>
      </c>
      <c r="C49" s="6">
        <v>6</v>
      </c>
      <c r="D49" t="s">
        <v>26</v>
      </c>
      <c r="E49" s="10">
        <f>COUNTIF(Retail_Data!$A:$A,A49)</f>
        <v>4</v>
      </c>
      <c r="F49" s="7">
        <f>SUMIF(Retail_Data!$A:$A,A49,Retail_Data!$K:$K)</f>
        <v>2833991.1742091887</v>
      </c>
      <c r="G49" s="9">
        <f>SUMIF(Retail_Data!$A:$A,A49,Retail_Data!$J:$J)</f>
        <v>239802.40450048802</v>
      </c>
      <c r="H49" s="9">
        <f>SUMIF(Passenger_Data!$A:$A,A49,Passenger_Data!$E:$E)</f>
        <v>1709032</v>
      </c>
      <c r="I49" s="7">
        <f t="shared" si="0"/>
        <v>11.818026512755093</v>
      </c>
      <c r="J49" s="7">
        <f t="shared" si="1"/>
        <v>1658.2434818126217</v>
      </c>
      <c r="K49" s="9">
        <f t="shared" si="2"/>
        <v>140.31475390776066</v>
      </c>
      <c r="L49" s="7">
        <f>SUMIF(Retail_Data!$A:$A,EDATE(A49,-12),Retail_Data!$K:$K)</f>
        <v>3092476.6089978712</v>
      </c>
      <c r="M49" s="8">
        <f t="shared" si="3"/>
        <v>-8.3585251392554794E-2</v>
      </c>
      <c r="N49" s="7">
        <f>SUMIFS(Retail_Data!$K:$K,Retail_Data!$A:$A,"&gt;="&amp;DATE(B49,1,1),Retail_Data!$A:$A,"&lt;="&amp;A49)</f>
        <v>14421758.390577383</v>
      </c>
      <c r="O49" s="8">
        <f>IFERROR(N49/SUMIFS(Retail_Data!$K:$K,Retail_Data!$A:$A,"&gt;="&amp;DATE(B49-1,1,1),Retail_Data!$A:$A,"&lt;="&amp;EDATE(A49,-12))-1,"")</f>
        <v>8.7986463767289136E-2</v>
      </c>
    </row>
  </sheetData>
  <mergeCells count="7">
    <mergeCell ref="A18:O18"/>
    <mergeCell ref="A1:O1"/>
    <mergeCell ref="A2:O2"/>
    <mergeCell ref="A4:B4"/>
    <mergeCell ref="A9:D9"/>
    <mergeCell ref="F9:I9"/>
    <mergeCell ref="K4:R4"/>
  </mergeCells>
  <conditionalFormatting sqref="M20:M49">
    <cfRule type="cellIs" dxfId="1" priority="1" operator="lessThan">
      <formula>0</formula>
    </cfRule>
  </conditionalFormatting>
  <conditionalFormatting sqref="O20:O49">
    <cfRule type="cellIs" dxfId="0" priority="2" operator="lessThan">
      <formula>0</formula>
    </cfRule>
  </conditionalFormatting>
  <pageMargins left="0.7" right="0.7" top="0.75" bottom="0.75" header="0.3" footer="0.3"/>
  <drawing r:id="rId1"/>
  <tableParts count="2">
    <tablePart r:id="rId2"/>
    <tablePart r:id="rId3"/>
  </tableParts>
  <extLst>
    <ext xmlns:x14="http://schemas.microsoft.com/office/spreadsheetml/2009/9/main" uri="{CCE6A557-97BC-4b89-ADB6-D9C93CAAB3DF}">
      <x14:dataValidations xmlns:xm="http://schemas.microsoft.com/office/excel/2006/main" count="2">
        <x14:dataValidation type="list" xr:uid="{00000000-0002-0000-0200-000000000000}">
          <x14:formula1>
            <xm:f>Data_Notes!$F$3:$F$5</xm:f>
          </x14:formula1>
          <xm:sqref>B5</xm:sqref>
        </x14:dataValidation>
        <x14:dataValidation type="list" xr:uid="{00000000-0002-0000-0200-000001000000}">
          <x14:formula1>
            <xm:f>Data_Notes!$G$3:$G$7</xm:f>
          </x14:formula1>
          <xm:sqref>B7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selection activeCell="D23" sqref="D23"/>
    </sheetView>
  </sheetViews>
  <sheetFormatPr defaultRowHeight="14.25"/>
  <cols>
    <col min="1" max="1" width="25" customWidth="1"/>
    <col min="2" max="2" width="50" customWidth="1"/>
    <col min="3" max="3" width="24" customWidth="1"/>
    <col min="4" max="4" width="42" customWidth="1"/>
    <col min="6" max="7" width="20" customWidth="1"/>
  </cols>
  <sheetData>
    <row r="1" spans="1:7" ht="27.95" customHeight="1">
      <c r="A1" s="56" t="s">
        <v>78</v>
      </c>
      <c r="B1" s="56"/>
      <c r="C1" s="56"/>
      <c r="D1" s="56"/>
    </row>
    <row r="2" spans="1:7">
      <c r="F2" t="s">
        <v>79</v>
      </c>
      <c r="G2" t="s">
        <v>80</v>
      </c>
    </row>
    <row r="3" spans="1:7" ht="15">
      <c r="A3" s="19" t="s">
        <v>81</v>
      </c>
      <c r="B3" s="20" t="s">
        <v>82</v>
      </c>
      <c r="C3" s="20" t="s">
        <v>83</v>
      </c>
      <c r="D3" s="21" t="s">
        <v>84</v>
      </c>
      <c r="F3">
        <v>2024</v>
      </c>
      <c r="G3" t="s">
        <v>18</v>
      </c>
    </row>
    <row r="4" spans="1:7">
      <c r="A4" s="4" t="s">
        <v>85</v>
      </c>
      <c r="B4" s="4" t="s">
        <v>86</v>
      </c>
      <c r="C4" s="4"/>
      <c r="D4" s="4" t="s">
        <v>87</v>
      </c>
      <c r="F4">
        <v>2025</v>
      </c>
      <c r="G4" t="s">
        <v>32</v>
      </c>
    </row>
    <row r="5" spans="1:7" ht="28.5">
      <c r="A5" s="4" t="s">
        <v>88</v>
      </c>
      <c r="B5" s="4" t="s">
        <v>89</v>
      </c>
      <c r="C5" s="4"/>
      <c r="D5" s="4" t="s">
        <v>90</v>
      </c>
      <c r="F5">
        <v>2026</v>
      </c>
      <c r="G5" t="s">
        <v>35</v>
      </c>
    </row>
    <row r="6" spans="1:7" ht="28.5">
      <c r="A6" s="4" t="s">
        <v>91</v>
      </c>
      <c r="B6" s="4" t="s">
        <v>92</v>
      </c>
      <c r="C6" s="4"/>
      <c r="D6" s="4" t="s">
        <v>93</v>
      </c>
      <c r="G6" t="s">
        <v>37</v>
      </c>
    </row>
    <row r="7" spans="1:7" ht="28.5">
      <c r="A7" s="4" t="s">
        <v>94</v>
      </c>
      <c r="B7" s="4" t="s">
        <v>95</v>
      </c>
      <c r="C7" s="4"/>
      <c r="D7" s="4" t="s">
        <v>96</v>
      </c>
      <c r="G7" t="s">
        <v>38</v>
      </c>
    </row>
    <row r="8" spans="1:7" ht="28.5">
      <c r="A8" s="4" t="s">
        <v>97</v>
      </c>
      <c r="B8" s="4" t="s">
        <v>98</v>
      </c>
      <c r="C8" s="4"/>
      <c r="D8" s="4" t="s">
        <v>99</v>
      </c>
    </row>
    <row r="9" spans="1:7" ht="28.5">
      <c r="A9" s="4" t="s">
        <v>100</v>
      </c>
      <c r="B9" s="4" t="s">
        <v>101</v>
      </c>
      <c r="C9" s="4"/>
      <c r="D9" s="4" t="s">
        <v>102</v>
      </c>
    </row>
    <row r="10" spans="1:7" ht="28.5">
      <c r="A10" s="4" t="s">
        <v>103</v>
      </c>
      <c r="B10" s="4" t="s">
        <v>104</v>
      </c>
      <c r="C10" s="4"/>
      <c r="D10" s="4" t="s">
        <v>105</v>
      </c>
    </row>
  </sheetData>
  <mergeCells count="1">
    <mergeCell ref="A1:D1"/>
  </mergeCells>
  <pageMargins left="0.7" right="0.7" top="0.75" bottom="0.75" header="0.3" footer="0.3"/>
</worksheet>
</file>

<file path=docMetadata/LabelInfo.xml><?xml version="1.0" encoding="utf-8"?>
<clbl:labelList xmlns:clbl="http://schemas.microsoft.com/office/2020/mipLabelMetadata">
  <clbl:label id="{eaab77ea-b4a5-49e3-a1e8-d6dd23a1f286}" enabled="0" method="" siteId="{eaab77ea-b4a5-49e3-a1e8-d6dd23a1f28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Task Description</vt:lpstr>
      <vt:lpstr>Retail_Data_Original</vt:lpstr>
      <vt:lpstr>Passenger_Data_Original</vt:lpstr>
      <vt:lpstr>Retail_Data</vt:lpstr>
      <vt:lpstr>Passenger_Data</vt:lpstr>
      <vt:lpstr>Output</vt:lpstr>
      <vt:lpstr>Data_Notes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Jordan Barbour</cp:lastModifiedBy>
  <dcterms:modified xsi:type="dcterms:W3CDTF">2026-08-04T13:42:18Z</dcterms:modified>
</cp:coreProperties>
</file>