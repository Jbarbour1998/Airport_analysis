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2fb07d5f2fa0ed6/Self_research Projects/Edinburgh_airport_analysis_challenege/scripts/"/>
    </mc:Choice>
  </mc:AlternateContent>
  <xr:revisionPtr revIDLastSave="1" documentId="11_2B59945F5422E8B4D44908D04B4E0031691BEA1E" xr6:coauthVersionLast="47" xr6:coauthVersionMax="47" xr10:uidLastSave="{DD742E11-32D5-4C6A-ACE3-CFEFF1864769}"/>
  <bookViews>
    <workbookView xWindow="30" yWindow="390" windowWidth="28770" windowHeight="15090" xr2:uid="{00000000-000D-0000-FFFF-FFFF00000000}"/>
  </bookViews>
  <sheets>
    <sheet name="Analysis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J13" i="1"/>
  <c r="I13" i="1"/>
  <c r="H13" i="1"/>
  <c r="G13" i="1"/>
  <c r="F13" i="1"/>
  <c r="E13" i="1"/>
  <c r="J12" i="1"/>
  <c r="I12" i="1"/>
  <c r="H12" i="1"/>
  <c r="G12" i="1"/>
  <c r="F12" i="1"/>
  <c r="E12" i="1"/>
  <c r="J11" i="1"/>
  <c r="I11" i="1"/>
  <c r="H11" i="1"/>
  <c r="G11" i="1"/>
  <c r="F11" i="1"/>
  <c r="E11" i="1"/>
  <c r="J10" i="1"/>
  <c r="I10" i="1"/>
  <c r="H10" i="1"/>
  <c r="G10" i="1"/>
  <c r="F10" i="1"/>
  <c r="E10" i="1"/>
  <c r="J9" i="1"/>
  <c r="I9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1"/>
  <c r="I6" i="1"/>
  <c r="H6" i="1"/>
  <c r="G6" i="1"/>
  <c r="F6" i="1"/>
  <c r="E6" i="1"/>
  <c r="J5" i="1"/>
  <c r="I5" i="1"/>
  <c r="H5" i="1"/>
  <c r="G5" i="1"/>
  <c r="F5" i="1"/>
  <c r="E5" i="1"/>
  <c r="J4" i="1"/>
  <c r="I4" i="1"/>
  <c r="H4" i="1"/>
  <c r="G4" i="1"/>
  <c r="F4" i="1"/>
  <c r="E4" i="1"/>
  <c r="J3" i="1"/>
  <c r="I3" i="1"/>
  <c r="H3" i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<sst xmlns="http://schemas.openxmlformats.org/spreadsheetml/2006/main" count="10" uniqueCount="10">
  <si>
    <t>date</t>
  </si>
  <si>
    <t>total_sales</t>
  </si>
  <si>
    <t>total_transactions</t>
  </si>
  <si>
    <t>passenger_amount</t>
  </si>
  <si>
    <t>sales_per_transaction</t>
  </si>
  <si>
    <t>sales_per_1000_passengers</t>
  </si>
  <si>
    <t>transactions_per_1000_passengers</t>
  </si>
  <si>
    <t>sales_change_pct</t>
  </si>
  <si>
    <t>transaction_change_pct</t>
  </si>
  <si>
    <t>passenger_change_pct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</si>
</sst>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H9" sqref="H9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7" bestFit="1" customWidth="1"/>
    <col min="4" max="4" width="18.140625" bestFit="1" customWidth="1"/>
    <col min="5" max="5" width="20.5703125" bestFit="1" customWidth="1"/>
    <col min="6" max="6" width="25.85546875" bestFit="1" customWidth="1"/>
    <col min="7" max="7" width="32.28515625" bestFit="1" customWidth="1"/>
    <col min="8" max="8" width="16.5703125" bestFit="1" customWidth="1"/>
    <col min="9" max="9" width="22.28515625" bestFit="1" customWidth="1"/>
    <col min="10" max="10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45778</v>
      </c>
      <c r="B2">
        <v>2629319.2323037498</v>
      </c>
      <c r="C2">
        <v>203738.0689119506</v>
      </c>
      <c r="D2">
        <v>1576429</v>
      </c>
      <c r="E2">
        <f t="shared" ref="E2:E14" si="0">IFERROR(B2/C2,0)</f>
        <v>12.905389976185853</v>
      </c>
      <c r="F2">
        <f t="shared" ref="F2:F14" si="1">IFERROR((B2/D2)*1000,0)</f>
        <v>1667.8957519201624</v>
      </c>
      <c r="G2">
        <f t="shared" ref="G2:G14" si="2">IFERROR((C2/D2)*1000,0)</f>
        <v>129.24024419238074</v>
      </c>
    </row>
    <row r="3" spans="1:10" x14ac:dyDescent="0.25">
      <c r="A3" s="2">
        <v>45809</v>
      </c>
      <c r="B3">
        <v>3092476.6089978721</v>
      </c>
      <c r="C3">
        <v>209599.58115068049</v>
      </c>
      <c r="D3">
        <v>1643722</v>
      </c>
      <c r="E3">
        <f t="shared" si="0"/>
        <v>14.75421177857555</v>
      </c>
      <c r="F3">
        <f t="shared" si="1"/>
        <v>1881.3866389802363</v>
      </c>
      <c r="G3">
        <f t="shared" si="2"/>
        <v>127.51522529398554</v>
      </c>
      <c r="H3">
        <f t="shared" ref="H3:H14" si="3">IFERROR((B3/B2)-1,"")</f>
        <v>0.17615106260349922</v>
      </c>
      <c r="I3">
        <f t="shared" ref="I3:I14" si="4">IFERROR((C3/C2)-1,"")</f>
        <v>2.8769842916608113E-2</v>
      </c>
      <c r="J3">
        <f t="shared" ref="J3:J14" si="5">IFERROR((D3/D2)-1,"")</f>
        <v>4.2686984317086285E-2</v>
      </c>
    </row>
    <row r="4" spans="1:10" x14ac:dyDescent="0.25">
      <c r="A4" s="2">
        <v>45839</v>
      </c>
      <c r="B4">
        <v>3296520.655643072</v>
      </c>
      <c r="C4">
        <v>222479.7315911488</v>
      </c>
      <c r="D4">
        <v>1783169</v>
      </c>
      <c r="E4">
        <f t="shared" si="0"/>
        <v>14.817172926570636</v>
      </c>
      <c r="F4">
        <f t="shared" si="1"/>
        <v>1848.6866111081295</v>
      </c>
      <c r="G4">
        <f t="shared" si="2"/>
        <v>124.7664868507409</v>
      </c>
      <c r="H4">
        <f t="shared" si="3"/>
        <v>6.598078900629778E-2</v>
      </c>
      <c r="I4">
        <f t="shared" si="4"/>
        <v>6.1451222229345959E-2</v>
      </c>
      <c r="J4">
        <f t="shared" si="5"/>
        <v>8.4836121923293595E-2</v>
      </c>
    </row>
    <row r="5" spans="1:10" x14ac:dyDescent="0.25">
      <c r="A5" s="2">
        <v>45870</v>
      </c>
      <c r="B5">
        <v>2435490.96144184</v>
      </c>
      <c r="C5">
        <v>244823.28619710761</v>
      </c>
      <c r="D5">
        <v>1770479</v>
      </c>
      <c r="E5">
        <f t="shared" si="0"/>
        <v>9.9479547034632265</v>
      </c>
      <c r="F5">
        <f t="shared" si="1"/>
        <v>1375.6113240777438</v>
      </c>
      <c r="G5">
        <f t="shared" si="2"/>
        <v>138.2808190309558</v>
      </c>
      <c r="H5">
        <f t="shared" si="3"/>
        <v>-0.26119347765265732</v>
      </c>
      <c r="I5">
        <f t="shared" si="4"/>
        <v>0.10042961867204858</v>
      </c>
      <c r="J5">
        <f t="shared" si="5"/>
        <v>-7.1165436366379398E-3</v>
      </c>
    </row>
    <row r="6" spans="1:10" x14ac:dyDescent="0.25">
      <c r="A6" s="2">
        <v>45901</v>
      </c>
      <c r="B6">
        <v>3227304.598624514</v>
      </c>
      <c r="C6">
        <v>192295.63723343279</v>
      </c>
      <c r="D6">
        <v>1628996</v>
      </c>
      <c r="E6">
        <f t="shared" si="0"/>
        <v>16.783035980721721</v>
      </c>
      <c r="F6">
        <f t="shared" si="1"/>
        <v>1981.1617699641461</v>
      </c>
      <c r="G6">
        <f t="shared" si="2"/>
        <v>118.04549380933581</v>
      </c>
      <c r="H6">
        <f t="shared" si="3"/>
        <v>0.32511458663509507</v>
      </c>
      <c r="I6">
        <f t="shared" si="4"/>
        <v>-0.21455332039528596</v>
      </c>
      <c r="J6">
        <f t="shared" si="5"/>
        <v>-7.9912272328561906E-2</v>
      </c>
    </row>
    <row r="7" spans="1:10" x14ac:dyDescent="0.25">
      <c r="A7" s="2">
        <v>45931</v>
      </c>
      <c r="B7">
        <v>2847320.2191283391</v>
      </c>
      <c r="C7">
        <v>180721.5928168924</v>
      </c>
      <c r="D7">
        <v>1609903</v>
      </c>
      <c r="E7">
        <f t="shared" si="0"/>
        <v>15.755285103165573</v>
      </c>
      <c r="F7">
        <f t="shared" si="1"/>
        <v>1768.628432351725</v>
      </c>
      <c r="G7">
        <f t="shared" si="2"/>
        <v>112.25619979395803</v>
      </c>
      <c r="H7">
        <f t="shared" si="3"/>
        <v>-0.11774047595573256</v>
      </c>
      <c r="I7">
        <f t="shared" si="4"/>
        <v>-6.0188803984618455E-2</v>
      </c>
      <c r="J7">
        <f t="shared" si="5"/>
        <v>-1.1720716318517677E-2</v>
      </c>
    </row>
    <row r="8" spans="1:10" x14ac:dyDescent="0.25">
      <c r="A8" s="2">
        <v>45962</v>
      </c>
      <c r="B8">
        <v>2064020.808333704</v>
      </c>
      <c r="C8">
        <v>174039.9824921148</v>
      </c>
      <c r="D8">
        <v>1193998</v>
      </c>
      <c r="E8">
        <f t="shared" si="0"/>
        <v>11.859463433508552</v>
      </c>
      <c r="F8">
        <f t="shared" si="1"/>
        <v>1728.6635390793822</v>
      </c>
      <c r="G8">
        <f t="shared" si="2"/>
        <v>145.76237354846054</v>
      </c>
      <c r="H8">
        <f t="shared" si="3"/>
        <v>-0.27510056843358122</v>
      </c>
      <c r="I8">
        <f t="shared" si="4"/>
        <v>-3.6971842825375245E-2</v>
      </c>
      <c r="J8">
        <f t="shared" si="5"/>
        <v>-0.25834165163988143</v>
      </c>
    </row>
    <row r="9" spans="1:10" x14ac:dyDescent="0.25">
      <c r="A9" s="2">
        <v>45992</v>
      </c>
      <c r="B9">
        <v>2146315.1718598902</v>
      </c>
      <c r="C9">
        <v>186442.99475433191</v>
      </c>
      <c r="D9">
        <v>1222096</v>
      </c>
      <c r="E9">
        <f t="shared" si="0"/>
        <v>11.511911051890147</v>
      </c>
      <c r="F9">
        <f t="shared" si="1"/>
        <v>1756.2574231974331</v>
      </c>
      <c r="G9">
        <f t="shared" si="2"/>
        <v>152.56002372508536</v>
      </c>
      <c r="H9">
        <f t="shared" si="3"/>
        <v>3.9870898197302163E-2</v>
      </c>
      <c r="I9">
        <f t="shared" si="4"/>
        <v>7.1265304010123431E-2</v>
      </c>
      <c r="J9">
        <f t="shared" si="5"/>
        <v>2.3532702734845534E-2</v>
      </c>
    </row>
    <row r="10" spans="1:10" x14ac:dyDescent="0.25">
      <c r="A10" s="2">
        <v>46023</v>
      </c>
      <c r="B10">
        <v>2109073.5205594781</v>
      </c>
      <c r="C10">
        <v>120523.52612528281</v>
      </c>
      <c r="D10">
        <v>1017320</v>
      </c>
      <c r="E10">
        <f t="shared" si="0"/>
        <v>17.499268303576851</v>
      </c>
      <c r="F10">
        <f t="shared" si="1"/>
        <v>2073.1662805798355</v>
      </c>
      <c r="G10">
        <f t="shared" si="2"/>
        <v>118.47159804710691</v>
      </c>
      <c r="H10">
        <f t="shared" si="3"/>
        <v>-1.7351436447304414E-2</v>
      </c>
      <c r="I10">
        <f t="shared" si="4"/>
        <v>-0.35356366548342788</v>
      </c>
      <c r="J10">
        <f t="shared" si="5"/>
        <v>-0.16756130451290241</v>
      </c>
    </row>
    <row r="11" spans="1:10" x14ac:dyDescent="0.25">
      <c r="A11" s="2">
        <v>46054</v>
      </c>
      <c r="B11">
        <v>1827374.8496907321</v>
      </c>
      <c r="C11">
        <v>151871.5498639755</v>
      </c>
      <c r="D11">
        <v>1071937</v>
      </c>
      <c r="E11">
        <f t="shared" si="0"/>
        <v>12.032371114454481</v>
      </c>
      <c r="F11">
        <f t="shared" si="1"/>
        <v>1704.7409033280242</v>
      </c>
      <c r="G11">
        <f t="shared" si="2"/>
        <v>141.67954820476902</v>
      </c>
      <c r="H11">
        <f t="shared" si="3"/>
        <v>-0.13356512616687688</v>
      </c>
      <c r="I11">
        <f t="shared" si="4"/>
        <v>0.26009879354265486</v>
      </c>
      <c r="J11">
        <f t="shared" si="5"/>
        <v>5.3687138756733477E-2</v>
      </c>
    </row>
    <row r="12" spans="1:10" x14ac:dyDescent="0.25">
      <c r="A12" s="2">
        <v>46082</v>
      </c>
      <c r="B12">
        <v>2276394.0646592099</v>
      </c>
      <c r="C12">
        <v>191437.35402812011</v>
      </c>
      <c r="D12">
        <v>1274309</v>
      </c>
      <c r="E12">
        <f t="shared" si="0"/>
        <v>11.891065232362289</v>
      </c>
      <c r="F12">
        <f t="shared" si="1"/>
        <v>1786.3752548708435</v>
      </c>
      <c r="G12">
        <f t="shared" si="2"/>
        <v>150.22836221679367</v>
      </c>
      <c r="H12">
        <f t="shared" si="3"/>
        <v>0.24571817601871371</v>
      </c>
      <c r="I12">
        <f t="shared" si="4"/>
        <v>0.26052150122641082</v>
      </c>
      <c r="J12">
        <f t="shared" si="5"/>
        <v>0.18879094573654975</v>
      </c>
    </row>
    <row r="13" spans="1:10" x14ac:dyDescent="0.25">
      <c r="A13" s="2">
        <v>46113</v>
      </c>
      <c r="B13">
        <v>2184653.8926735432</v>
      </c>
      <c r="C13">
        <v>176779.34524718291</v>
      </c>
      <c r="D13">
        <v>1465123</v>
      </c>
      <c r="E13">
        <f t="shared" si="0"/>
        <v>12.358083404024583</v>
      </c>
      <c r="F13">
        <f t="shared" si="1"/>
        <v>1491.1061342109456</v>
      </c>
      <c r="G13">
        <f t="shared" si="2"/>
        <v>120.6583646882773</v>
      </c>
      <c r="H13">
        <f t="shared" si="3"/>
        <v>-4.0300655062286306E-2</v>
      </c>
      <c r="I13">
        <f t="shared" si="4"/>
        <v>-7.6568174771074693E-2</v>
      </c>
      <c r="J13">
        <f t="shared" si="5"/>
        <v>0.14973919198561725</v>
      </c>
    </row>
    <row r="14" spans="1:10" x14ac:dyDescent="0.25">
      <c r="A14" s="2">
        <v>46143</v>
      </c>
      <c r="B14">
        <v>3190270.8887852351</v>
      </c>
      <c r="C14">
        <v>201838.52999019259</v>
      </c>
      <c r="D14">
        <v>1655765</v>
      </c>
      <c r="E14">
        <f t="shared" si="0"/>
        <v>15.806054913996112</v>
      </c>
      <c r="F14">
        <f t="shared" si="1"/>
        <v>1926.7655064488226</v>
      </c>
      <c r="G14">
        <f t="shared" si="2"/>
        <v>121.90046896159333</v>
      </c>
      <c r="H14">
        <f t="shared" si="3"/>
        <v>0.46030952522233837</v>
      </c>
      <c r="I14">
        <f t="shared" si="4"/>
        <v>0.14175403075495341</v>
      </c>
      <c r="J14">
        <f t="shared" si="5"/>
        <v>0.1301201332584363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Barbour</cp:lastModifiedBy>
  <dcterms:created xsi:type="dcterms:W3CDTF">2026-08-01T22:40:48Z</dcterms:created>
  <dcterms:modified xsi:type="dcterms:W3CDTF">2026-08-01T22:41:24Z</dcterms:modified>
</cp:coreProperties>
</file>